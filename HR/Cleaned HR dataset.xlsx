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esktop\Data Analysis Class with Doonert\"/>
    </mc:Choice>
  </mc:AlternateContent>
  <xr:revisionPtr revIDLastSave="0" documentId="13_ncr:1_{267EF2BA-ACA6-404B-9022-6C0A49AF45CC}" xr6:coauthVersionLast="47" xr6:coauthVersionMax="47" xr10:uidLastSave="{00000000-0000-0000-0000-000000000000}"/>
  <bookViews>
    <workbookView xWindow="-120" yWindow="-120" windowWidth="29040" windowHeight="16440" firstSheet="2" activeTab="7" xr2:uid="{F21F4E13-2386-4822-8514-821E2CDC4AE3}"/>
  </bookViews>
  <sheets>
    <sheet name="Sheet1 (2)" sheetId="3" r:id="rId1"/>
    <sheet name="Year of Service" sheetId="7" r:id="rId2"/>
    <sheet name="Salary range" sheetId="6" r:id="rId3"/>
    <sheet name="Age range" sheetId="5" r:id="rId4"/>
    <sheet name="satisfaction Score" sheetId="4" r:id="rId5"/>
    <sheet name="pivot Analyser" sheetId="9" r:id="rId6"/>
    <sheet name="my analysis" sheetId="10" r:id="rId7"/>
    <sheet name="Dashboard" sheetId="1" r:id="rId8"/>
    <sheet name="Cleaned Data sheet" sheetId="2" r:id="rId9"/>
    <sheet name="Sheet2" sheetId="11" r:id="rId10"/>
  </sheets>
  <definedNames>
    <definedName name="_xlcn.WorksheetConnection_CleanedHRdataset.xlsxAge_range1" hidden="1">Age_range[]</definedName>
    <definedName name="_xlcn.WorksheetConnection_CleanedHRdataset.xlsxCleaned_Data_sheet1" hidden="1">Cleaned_Data_sheet[]</definedName>
    <definedName name="_xlcn.WorksheetConnection_CleanedHRdataset.xlsxperformance_rating1" hidden="1">performance_rating[]</definedName>
    <definedName name="_xlcn.WorksheetConnection_CleanedHRdataset.xlsxSalary_range1" hidden="1">Salary_range[]</definedName>
    <definedName name="_xlcn.WorksheetConnection_CleanedHRdataset.xlsxsatisfaction_Score1" hidden="1">satisfaction_Score[]</definedName>
    <definedName name="_xlcn.WorksheetConnection_CleanedHRdataset.xlsxYear_of_Service1" hidden="1">Year_of_Service[]</definedName>
    <definedName name="ExternalData_1" localSheetId="8" hidden="1">'Cleaned Data sheet'!$A$1:$J$781</definedName>
    <definedName name="ExternalData_2" localSheetId="4" hidden="1">'satisfaction Score'!$A$1:$B$20</definedName>
    <definedName name="ExternalData_2" localSheetId="0" hidden="1">'Sheet1 (2)'!$A$1:$B$6</definedName>
    <definedName name="ExternalData_3" localSheetId="3" hidden="1">'Age range'!$A$1:$B$22</definedName>
    <definedName name="ExternalData_4" localSheetId="2" hidden="1">'Salary range'!$A$1:$B$36</definedName>
    <definedName name="ExternalData_5" localSheetId="1" hidden="1">'Year of Service'!$A$1:$B$16</definedName>
    <definedName name="Slicer_Age_Group">#N/A</definedName>
    <definedName name="Slicer_Department">#N/A</definedName>
    <definedName name="Slicer_Gender">#N/A</definedName>
    <definedName name="Slicer_Performance_Rating">#N/A</definedName>
  </definedNames>
  <calcPr calcId="191029"/>
  <pivotCaches>
    <pivotCache cacheId="1079" r:id="rId11"/>
    <pivotCache cacheId="1082" r:id="rId12"/>
    <pivotCache cacheId="1085" r:id="rId13"/>
    <pivotCache cacheId="1088" r:id="rId14"/>
    <pivotCache cacheId="1091" r:id="rId15"/>
    <pivotCache cacheId="1094" r:id="rId16"/>
    <pivotCache cacheId="1097" r:id="rId17"/>
    <pivotCache cacheId="1100" r:id="rId18"/>
    <pivotCache cacheId="1103" r:id="rId19"/>
    <pivotCache cacheId="1106" r:id="rId20"/>
    <pivotCache cacheId="1109" r:id="rId21"/>
    <pivotCache cacheId="1112" r:id="rId22"/>
    <pivotCache cacheId="1115" r:id="rId23"/>
    <pivotCache cacheId="1118" r:id="rId24"/>
    <pivotCache cacheId="1121" r:id="rId25"/>
    <pivotCache cacheId="1124" r:id="rId26"/>
    <pivotCache cacheId="1127" r:id="rId27"/>
    <pivotCache cacheId="1130" r:id="rId28"/>
    <pivotCache cacheId="1133" r:id="rId29"/>
    <pivotCache cacheId="1136" r:id="rId30"/>
    <pivotCache cacheId="1139" r:id="rId31"/>
    <pivotCache cacheId="1142" r:id="rId32"/>
    <pivotCache cacheId="1145" r:id="rId33"/>
    <pivotCache cacheId="1148" r:id="rId34"/>
    <pivotCache cacheId="1151" r:id="rId35"/>
  </pivotCaches>
  <extLst>
    <ext xmlns:x14="http://schemas.microsoft.com/office/spreadsheetml/2009/9/main" uri="{876F7934-8845-4945-9796-88D515C7AA90}">
      <x14:pivotCaches>
        <pivotCache cacheId="31" r:id="rId36"/>
      </x14:pivotCaches>
    </ext>
    <ext xmlns:x14="http://schemas.microsoft.com/office/spreadsheetml/2009/9/main" uri="{BBE1A952-AA13-448e-AADC-164F8A28A991}">
      <x14:slicerCaches>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of_Service" name="Year_of_Service" connection="WorksheetConnection_Cleaned HR dataset.xlsx!Year_of_Service"/>
          <x15:modelTable id="satisfaction_Score" name="satisfaction_Score" connection="WorksheetConnection_Cleaned HR dataset.xlsx!satisfaction_Score"/>
          <x15:modelTable id="Salary_range" name="Salary_range" connection="WorksheetConnection_Cleaned HR dataset.xlsx!Salary_range"/>
          <x15:modelTable id="performance_rating" name="performance_rating" connection="WorksheetConnection_Cleaned HR dataset.xlsx!performance_rating"/>
          <x15:modelTable id="Cleaned_Data_sheet" name="Cleaned_Data_sheet" connection="WorksheetConnection_Cleaned HR dataset.xlsx!Cleaned_Data_sheet"/>
          <x15:modelTable id="Age_range" name="Age_range" connection="WorksheetConnection_Cleaned HR dataset.xlsx!Age_range"/>
        </x15:modelTables>
        <x15:modelRelationships>
          <x15:modelRelationship fromTable="Cleaned_Data_sheet" fromColumn="Satisfaction Score" toTable="satisfaction_Score" toColumn="Satisfaction Score"/>
          <x15:modelRelationship fromTable="Cleaned_Data_sheet" fromColumn="Age" toTable="Age_range" toColumn="Age"/>
          <x15:modelRelationship fromTable="Cleaned_Data_sheet" fromColumn="Salary" toTable="Salary_range" toColumn="Salary"/>
          <x15:modelRelationship fromTable="Cleaned_Data_sheet" fromColumn="Years of Service" toTable="Year_of_Service" toColumn="Years of Service"/>
          <x15:modelRelationship fromTable="Cleaned_Data_sheet" fromColumn="Performance Rating" toTable="performance_rating" toColumn="Performance Rating"/>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9" l="1"/>
  <c r="S5" i="9"/>
  <c r="R6" i="9"/>
  <c r="S6" i="9"/>
  <c r="R7" i="9"/>
  <c r="S7" i="9"/>
  <c r="S4" i="9"/>
  <c r="R4" i="9"/>
  <c r="O14" i="9"/>
  <c r="P14" i="9"/>
  <c r="O15" i="9"/>
  <c r="P15" i="9"/>
  <c r="O16" i="9"/>
  <c r="P16" i="9"/>
  <c r="O17" i="9"/>
  <c r="P17" i="9"/>
  <c r="O18" i="9"/>
  <c r="P18" i="9"/>
  <c r="P13" i="9"/>
  <c r="O13" i="9"/>
  <c r="O25" i="9"/>
  <c r="P25" i="9"/>
  <c r="O26" i="9"/>
  <c r="P26" i="9"/>
  <c r="O27" i="9"/>
  <c r="P27" i="9"/>
  <c r="P24" i="9"/>
  <c r="O24" i="9"/>
  <c r="O8" i="9"/>
  <c r="P5" i="9"/>
  <c r="O7" i="9"/>
  <c r="P7" i="9"/>
  <c r="O6" i="9"/>
  <c r="P8" i="9"/>
  <c r="O5" i="9"/>
  <c r="P6" i="9"/>
  <c r="O4" i="9"/>
  <c r="P9" i="9"/>
  <c r="P4" i="9"/>
  <c r="O9" i="9"/>
  <c r="M11" i="9"/>
  <c r="K27" i="9"/>
  <c r="L29" i="9"/>
  <c r="K28" i="9"/>
  <c r="L27" i="9"/>
  <c r="K31" i="9"/>
  <c r="L30" i="9"/>
  <c r="K30" i="9"/>
  <c r="L31" i="9"/>
  <c r="L28" i="9"/>
  <c r="K29" i="9"/>
  <c r="K22" i="9"/>
  <c r="L22" i="9"/>
  <c r="K21" i="9"/>
  <c r="L21" i="9"/>
  <c r="K20" i="9"/>
  <c r="L20" i="9"/>
  <c r="K19" i="9"/>
  <c r="L19" i="9"/>
  <c r="L23" i="9"/>
  <c r="K23" i="9"/>
  <c r="L11" i="9"/>
  <c r="M13" i="9"/>
  <c r="L12" i="9"/>
  <c r="M12" i="9"/>
  <c r="L14" i="9"/>
  <c r="M10" i="9"/>
  <c r="L13" i="9"/>
  <c r="M14" i="9"/>
  <c r="L10" i="9"/>
  <c r="M5" i="9"/>
  <c r="N5" i="9"/>
  <c r="N4" i="9"/>
  <c r="M4" i="9"/>
  <c r="AB5" i="1"/>
  <c r="Z5" i="1"/>
  <c r="W5" i="1"/>
  <c r="T5" i="1"/>
  <c r="Q5" i="1"/>
  <c r="M6" i="1"/>
  <c r="K6" i="1"/>
  <c r="I6" i="1"/>
  <c r="G6" i="1"/>
  <c r="M18" i="9" l="1"/>
  <c r="M20" i="9" s="1"/>
  <c r="T3" i="9"/>
  <c r="T5" i="9" s="1"/>
  <c r="M26" i="9"/>
  <c r="M30" i="9" s="1"/>
  <c r="M21" i="9" l="1"/>
  <c r="M22" i="9"/>
  <c r="M23" i="9"/>
  <c r="M19" i="9"/>
  <c r="T7" i="9"/>
  <c r="T4" i="9"/>
  <c r="T6" i="9"/>
  <c r="M27" i="9"/>
  <c r="M29" i="9"/>
  <c r="M28" i="9"/>
  <c r="M3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8B4F46-9F45-47BA-9BA8-3AEC95456150}" keepAlive="1" name="Query - Age range" description="Connection to the 'Age range' query in the workbook." type="5" refreshedVersion="8" background="1" saveData="1">
    <dbPr connection="Provider=Microsoft.Mashup.OleDb.1;Data Source=$Workbook$;Location=&quot;Age range&quot;;Extended Properties=&quot;&quot;" command="SELECT * FROM [Age range]"/>
  </connection>
  <connection id="2" xr16:uid="{1865FC62-01E6-4A65-ACC9-B82736D21A02}" keepAlive="1" name="Query - Cleaned Data sheet" description="Connection to the 'Cleaned Data sheet' query in the workbook." type="5" refreshedVersion="8" background="1" saveData="1">
    <dbPr connection="Provider=Microsoft.Mashup.OleDb.1;Data Source=$Workbook$;Location=&quot;Cleaned Data sheet&quot;;Extended Properties=&quot;&quot;" command="SELECT * FROM [Cleaned Data sheet]"/>
  </connection>
  <connection id="3" xr16:uid="{84FD7370-3496-4B86-80BC-9B2068ABD815}" keepAlive="1" name="Query - performance rating" description="Connection to the 'performance rating' query in the workbook." type="5" refreshedVersion="8" background="1" saveData="1">
    <dbPr connection="Provider=Microsoft.Mashup.OleDb.1;Data Source=$Workbook$;Location=&quot;performance rating&quot;;Extended Properties=&quot;&quot;" command="SELECT * FROM [performance rating]"/>
  </connection>
  <connection id="4" xr16:uid="{88D19518-5BC1-4C7E-9988-A4BAA2E13EA4}" keepAlive="1" name="Query - Salary range" description="Connection to the 'Salary range' query in the workbook." type="5" refreshedVersion="8" background="1" saveData="1">
    <dbPr connection="Provider=Microsoft.Mashup.OleDb.1;Data Source=$Workbook$;Location=&quot;Salary range&quot;;Extended Properties=&quot;&quot;" command="SELECT * FROM [Salary range]"/>
  </connection>
  <connection id="5" xr16:uid="{3772FA4D-DEA4-4A68-AACB-6D8ED3DDD069}" keepAlive="1" name="Query - satisfaction Score" description="Connection to the 'satisfaction Score' query in the workbook." type="5" refreshedVersion="8" background="1" saveData="1">
    <dbPr connection="Provider=Microsoft.Mashup.OleDb.1;Data Source=$Workbook$;Location=&quot;satisfaction Score&quot;;Extended Properties=&quot;&quot;" command="SELECT * FROM [satisfaction Score]"/>
  </connection>
  <connection id="6" xr16:uid="{43417905-BC77-40B9-B1C2-466987B71957}" keepAlive="1" name="Query - Year of Service" description="Connection to the 'Year of Service' query in the workbook." type="5" refreshedVersion="8" background="1" saveData="1">
    <dbPr connection="Provider=Microsoft.Mashup.OleDb.1;Data Source=$Workbook$;Location=&quot;Year of Service&quot;;Extended Properties=&quot;&quot;" command="SELECT * FROM [Year of Service]"/>
  </connection>
  <connection id="7" xr16:uid="{669A0F66-43A5-4771-99DE-1C280A1036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FC487CA-4BD6-4C2F-9E0C-B7D0FAAFC997}" name="WorksheetConnection_Cleaned HR dataset.xlsx!Age_range" type="102" refreshedVersion="8" minRefreshableVersion="5">
    <extLst>
      <ext xmlns:x15="http://schemas.microsoft.com/office/spreadsheetml/2010/11/main" uri="{DE250136-89BD-433C-8126-D09CA5730AF9}">
        <x15:connection id="Age_range">
          <x15:rangePr sourceName="_xlcn.WorksheetConnection_CleanedHRdataset.xlsxAge_range1"/>
        </x15:connection>
      </ext>
    </extLst>
  </connection>
  <connection id="9" xr16:uid="{1A83DB11-D254-4F6A-9E0A-656511B7A4EF}" name="WorksheetConnection_Cleaned HR dataset.xlsx!Cleaned_Data_sheet" type="102" refreshedVersion="8" minRefreshableVersion="5">
    <extLst>
      <ext xmlns:x15="http://schemas.microsoft.com/office/spreadsheetml/2010/11/main" uri="{DE250136-89BD-433C-8126-D09CA5730AF9}">
        <x15:connection id="Cleaned_Data_sheet">
          <x15:rangePr sourceName="_xlcn.WorksheetConnection_CleanedHRdataset.xlsxCleaned_Data_sheet1"/>
        </x15:connection>
      </ext>
    </extLst>
  </connection>
  <connection id="10" xr16:uid="{5014D3F6-5DA8-46BB-B637-AA57E98BEFBA}" name="WorksheetConnection_Cleaned HR dataset.xlsx!performance_rating" type="102" refreshedVersion="8" minRefreshableVersion="5">
    <extLst>
      <ext xmlns:x15="http://schemas.microsoft.com/office/spreadsheetml/2010/11/main" uri="{DE250136-89BD-433C-8126-D09CA5730AF9}">
        <x15:connection id="performance_rating">
          <x15:rangePr sourceName="_xlcn.WorksheetConnection_CleanedHRdataset.xlsxperformance_rating1"/>
        </x15:connection>
      </ext>
    </extLst>
  </connection>
  <connection id="11" xr16:uid="{CCBAF530-26B2-4821-8C0A-4CB70AD623A1}" name="WorksheetConnection_Cleaned HR dataset.xlsx!Salary_range" type="102" refreshedVersion="8" minRefreshableVersion="5">
    <extLst>
      <ext xmlns:x15="http://schemas.microsoft.com/office/spreadsheetml/2010/11/main" uri="{DE250136-89BD-433C-8126-D09CA5730AF9}">
        <x15:connection id="Salary_range">
          <x15:rangePr sourceName="_xlcn.WorksheetConnection_CleanedHRdataset.xlsxSalary_range1"/>
        </x15:connection>
      </ext>
    </extLst>
  </connection>
  <connection id="12" xr16:uid="{62595189-DEA4-44A2-AC35-926F58A59F0B}" name="WorksheetConnection_Cleaned HR dataset.xlsx!satisfaction_Score" type="102" refreshedVersion="8" minRefreshableVersion="5">
    <extLst>
      <ext xmlns:x15="http://schemas.microsoft.com/office/spreadsheetml/2010/11/main" uri="{DE250136-89BD-433C-8126-D09CA5730AF9}">
        <x15:connection id="satisfaction_Score">
          <x15:rangePr sourceName="_xlcn.WorksheetConnection_CleanedHRdataset.xlsxsatisfaction_Score1"/>
        </x15:connection>
      </ext>
    </extLst>
  </connection>
  <connection id="13" xr16:uid="{26E16A4D-84E5-453D-ABB2-4375F2CD6F8A}" name="WorksheetConnection_Cleaned HR dataset.xlsx!Year_of_Service" type="102" refreshedVersion="8" minRefreshableVersion="5">
    <extLst>
      <ext xmlns:x15="http://schemas.microsoft.com/office/spreadsheetml/2010/11/main" uri="{DE250136-89BD-433C-8126-D09CA5730AF9}">
        <x15:connection id="Year_of_Service">
          <x15:rangePr sourceName="_xlcn.WorksheetConnection_CleanedHRdataset.xlsxYear_of_Service1"/>
        </x15:connection>
      </ext>
    </extLst>
  </connection>
</connections>
</file>

<file path=xl/sharedStrings.xml><?xml version="1.0" encoding="utf-8"?>
<sst xmlns="http://schemas.openxmlformats.org/spreadsheetml/2006/main" count="4117" uniqueCount="872">
  <si>
    <t xml:space="preserve"> EmployeeID </t>
  </si>
  <si>
    <t xml:space="preserve"> Age </t>
  </si>
  <si>
    <t xml:space="preserve"> Gender  </t>
  </si>
  <si>
    <t xml:space="preserve"> Department </t>
  </si>
  <si>
    <t xml:space="preserve"> Job Role   </t>
  </si>
  <si>
    <t xml:space="preserve"> Years of Service </t>
  </si>
  <si>
    <t xml:space="preserve"> Performance Rating </t>
  </si>
  <si>
    <t xml:space="preserve"> Satisfaction Score </t>
  </si>
  <si>
    <t xml:space="preserve"> Salary </t>
  </si>
  <si>
    <t xml:space="preserve"> Attrition </t>
  </si>
  <si>
    <t xml:space="preserve"> 001        </t>
  </si>
  <si>
    <t>Male</t>
  </si>
  <si>
    <t>Sales</t>
  </si>
  <si>
    <t xml:space="preserve"> Sales Rep  </t>
  </si>
  <si>
    <t xml:space="preserve"> 002        </t>
  </si>
  <si>
    <t>Female</t>
  </si>
  <si>
    <t>Marketing</t>
  </si>
  <si>
    <t xml:space="preserve"> Manager    </t>
  </si>
  <si>
    <t xml:space="preserve"> 003        </t>
  </si>
  <si>
    <t>IT</t>
  </si>
  <si>
    <t xml:space="preserve"> Analyst    </t>
  </si>
  <si>
    <t xml:space="preserve"> 004        </t>
  </si>
  <si>
    <t>HR</t>
  </si>
  <si>
    <t xml:space="preserve"> Specialist </t>
  </si>
  <si>
    <t xml:space="preserve"> 005        </t>
  </si>
  <si>
    <t>Engineering</t>
  </si>
  <si>
    <t xml:space="preserve"> Engineer   </t>
  </si>
  <si>
    <t xml:space="preserve"> 006        </t>
  </si>
  <si>
    <t>Finance</t>
  </si>
  <si>
    <t xml:space="preserve"> Accountant </t>
  </si>
  <si>
    <t xml:space="preserve"> 007        </t>
  </si>
  <si>
    <t xml:space="preserve"> 008        </t>
  </si>
  <si>
    <t xml:space="preserve"> 009        </t>
  </si>
  <si>
    <t xml:space="preserve"> 010        </t>
  </si>
  <si>
    <t xml:space="preserve"> 011        </t>
  </si>
  <si>
    <t xml:space="preserve"> 012        </t>
  </si>
  <si>
    <t xml:space="preserve"> 013        </t>
  </si>
  <si>
    <t xml:space="preserve"> 014        </t>
  </si>
  <si>
    <t xml:space="preserve"> 015        </t>
  </si>
  <si>
    <t xml:space="preserve"> 016        </t>
  </si>
  <si>
    <t xml:space="preserve"> 017        </t>
  </si>
  <si>
    <t xml:space="preserve"> 018        </t>
  </si>
  <si>
    <t xml:space="preserve"> 019        </t>
  </si>
  <si>
    <t xml:space="preserve"> 020        </t>
  </si>
  <si>
    <t xml:space="preserve"> 021        </t>
  </si>
  <si>
    <t xml:space="preserve"> 022        </t>
  </si>
  <si>
    <t xml:space="preserve"> 023        </t>
  </si>
  <si>
    <t xml:space="preserve"> 024        </t>
  </si>
  <si>
    <t xml:space="preserve"> 025        </t>
  </si>
  <si>
    <t xml:space="preserve"> 026        </t>
  </si>
  <si>
    <t xml:space="preserve"> 027        </t>
  </si>
  <si>
    <t xml:space="preserve"> 028        </t>
  </si>
  <si>
    <t xml:space="preserve"> 029        </t>
  </si>
  <si>
    <t xml:space="preserve"> 030        </t>
  </si>
  <si>
    <t xml:space="preserve"> 031        </t>
  </si>
  <si>
    <t xml:space="preserve"> 032        </t>
  </si>
  <si>
    <t xml:space="preserve"> 033        </t>
  </si>
  <si>
    <t xml:space="preserve"> 034        </t>
  </si>
  <si>
    <t xml:space="preserve"> 035        </t>
  </si>
  <si>
    <t xml:space="preserve"> 036        </t>
  </si>
  <si>
    <t xml:space="preserve"> 037        </t>
  </si>
  <si>
    <t xml:space="preserve"> 038        </t>
  </si>
  <si>
    <t xml:space="preserve"> 039        </t>
  </si>
  <si>
    <t xml:space="preserve"> 040        </t>
  </si>
  <si>
    <t xml:space="preserve"> 041        </t>
  </si>
  <si>
    <t xml:space="preserve"> 042        </t>
  </si>
  <si>
    <t xml:space="preserve"> 043        </t>
  </si>
  <si>
    <t xml:space="preserve"> 044        </t>
  </si>
  <si>
    <t xml:space="preserve"> 045        </t>
  </si>
  <si>
    <t xml:space="preserve"> 046        </t>
  </si>
  <si>
    <t xml:space="preserve"> 047        </t>
  </si>
  <si>
    <t xml:space="preserve"> 048        </t>
  </si>
  <si>
    <t xml:space="preserve"> 049        </t>
  </si>
  <si>
    <t xml:space="preserve"> 050        </t>
  </si>
  <si>
    <t xml:space="preserve"> 051        </t>
  </si>
  <si>
    <t xml:space="preserve"> 052        </t>
  </si>
  <si>
    <t xml:space="preserve"> 053        </t>
  </si>
  <si>
    <t xml:space="preserve"> 054        </t>
  </si>
  <si>
    <t xml:space="preserve"> 055        </t>
  </si>
  <si>
    <t xml:space="preserve"> 056        </t>
  </si>
  <si>
    <t xml:space="preserve"> 057        </t>
  </si>
  <si>
    <t xml:space="preserve"> 058        </t>
  </si>
  <si>
    <t xml:space="preserve"> 059        </t>
  </si>
  <si>
    <t xml:space="preserve"> 060        </t>
  </si>
  <si>
    <t xml:space="preserve"> 061        </t>
  </si>
  <si>
    <t xml:space="preserve"> 062        </t>
  </si>
  <si>
    <t xml:space="preserve"> 063        </t>
  </si>
  <si>
    <t xml:space="preserve"> 064        </t>
  </si>
  <si>
    <t xml:space="preserve"> 065        </t>
  </si>
  <si>
    <t xml:space="preserve"> 066        </t>
  </si>
  <si>
    <t xml:space="preserve"> 067        </t>
  </si>
  <si>
    <t xml:space="preserve"> 068        </t>
  </si>
  <si>
    <t xml:space="preserve"> 069        </t>
  </si>
  <si>
    <t xml:space="preserve"> 070        </t>
  </si>
  <si>
    <t xml:space="preserve"> 071        </t>
  </si>
  <si>
    <t xml:space="preserve"> 072        </t>
  </si>
  <si>
    <t xml:space="preserve"> 073        </t>
  </si>
  <si>
    <t xml:space="preserve"> 074        </t>
  </si>
  <si>
    <t xml:space="preserve"> 075        </t>
  </si>
  <si>
    <t xml:space="preserve"> 076        </t>
  </si>
  <si>
    <t xml:space="preserve"> 077        </t>
  </si>
  <si>
    <t xml:space="preserve"> 078        </t>
  </si>
  <si>
    <t xml:space="preserve"> 079        </t>
  </si>
  <si>
    <t xml:space="preserve"> 080        </t>
  </si>
  <si>
    <t xml:space="preserve"> 081        </t>
  </si>
  <si>
    <t xml:space="preserve"> 082        </t>
  </si>
  <si>
    <t xml:space="preserve"> 083        </t>
  </si>
  <si>
    <t xml:space="preserve"> 084        </t>
  </si>
  <si>
    <t xml:space="preserve"> 085        </t>
  </si>
  <si>
    <t xml:space="preserve"> 086        </t>
  </si>
  <si>
    <t xml:space="preserve"> 087        </t>
  </si>
  <si>
    <t xml:space="preserve"> 088        </t>
  </si>
  <si>
    <t xml:space="preserve"> 089        </t>
  </si>
  <si>
    <t xml:space="preserve"> 090        </t>
  </si>
  <si>
    <t xml:space="preserve"> 091        </t>
  </si>
  <si>
    <t xml:space="preserve"> 092        </t>
  </si>
  <si>
    <t xml:space="preserve"> 093        </t>
  </si>
  <si>
    <t xml:space="preserve"> 094        </t>
  </si>
  <si>
    <t xml:space="preserve"> 095        </t>
  </si>
  <si>
    <t xml:space="preserve"> 096        </t>
  </si>
  <si>
    <t xml:space="preserve"> 097        </t>
  </si>
  <si>
    <t xml:space="preserve"> 098        </t>
  </si>
  <si>
    <t xml:space="preserve"> 099        </t>
  </si>
  <si>
    <t xml:space="preserve"> 100        </t>
  </si>
  <si>
    <t xml:space="preserve"> 101        </t>
  </si>
  <si>
    <t xml:space="preserve"> 102        </t>
  </si>
  <si>
    <t xml:space="preserve"> 103        </t>
  </si>
  <si>
    <t xml:space="preserve"> 104        </t>
  </si>
  <si>
    <t xml:space="preserve"> 105        </t>
  </si>
  <si>
    <t xml:space="preserve"> 106        </t>
  </si>
  <si>
    <t xml:space="preserve"> 107        </t>
  </si>
  <si>
    <t xml:space="preserve"> 108        </t>
  </si>
  <si>
    <t xml:space="preserve"> 109        </t>
  </si>
  <si>
    <t xml:space="preserve"> 110        </t>
  </si>
  <si>
    <t xml:space="preserve"> 111        </t>
  </si>
  <si>
    <t xml:space="preserve"> 112        </t>
  </si>
  <si>
    <t xml:space="preserve"> 113        </t>
  </si>
  <si>
    <t xml:space="preserve"> 114        </t>
  </si>
  <si>
    <t xml:space="preserve"> 115        </t>
  </si>
  <si>
    <t xml:space="preserve"> 116        </t>
  </si>
  <si>
    <t xml:space="preserve"> 117        </t>
  </si>
  <si>
    <t xml:space="preserve"> 118        </t>
  </si>
  <si>
    <t xml:space="preserve"> 119        </t>
  </si>
  <si>
    <t xml:space="preserve"> 120        </t>
  </si>
  <si>
    <t xml:space="preserve"> 121        </t>
  </si>
  <si>
    <t xml:space="preserve"> 122        </t>
  </si>
  <si>
    <t xml:space="preserve"> 123        </t>
  </si>
  <si>
    <t xml:space="preserve"> 124        </t>
  </si>
  <si>
    <t xml:space="preserve"> 125        </t>
  </si>
  <si>
    <t xml:space="preserve"> 126        </t>
  </si>
  <si>
    <t xml:space="preserve"> 127        </t>
  </si>
  <si>
    <t xml:space="preserve"> 128        </t>
  </si>
  <si>
    <t xml:space="preserve"> 129        </t>
  </si>
  <si>
    <t xml:space="preserve"> 130        </t>
  </si>
  <si>
    <t xml:space="preserve"> 131        </t>
  </si>
  <si>
    <t xml:space="preserve"> 132        </t>
  </si>
  <si>
    <t xml:space="preserve"> 133        </t>
  </si>
  <si>
    <t xml:space="preserve"> 134        </t>
  </si>
  <si>
    <t xml:space="preserve"> 135        </t>
  </si>
  <si>
    <t xml:space="preserve"> 136        </t>
  </si>
  <si>
    <t xml:space="preserve"> 137        </t>
  </si>
  <si>
    <t xml:space="preserve"> 138        </t>
  </si>
  <si>
    <t xml:space="preserve"> 139        </t>
  </si>
  <si>
    <t xml:space="preserve"> 140        </t>
  </si>
  <si>
    <t xml:space="preserve"> 141        </t>
  </si>
  <si>
    <t xml:space="preserve"> 142        </t>
  </si>
  <si>
    <t xml:space="preserve"> 143        </t>
  </si>
  <si>
    <t xml:space="preserve"> 144        </t>
  </si>
  <si>
    <t xml:space="preserve"> 145        </t>
  </si>
  <si>
    <t xml:space="preserve"> 146        </t>
  </si>
  <si>
    <t xml:space="preserve"> 147        </t>
  </si>
  <si>
    <t xml:space="preserve"> 148        </t>
  </si>
  <si>
    <t xml:space="preserve"> 149        </t>
  </si>
  <si>
    <t xml:space="preserve"> 150        </t>
  </si>
  <si>
    <t xml:space="preserve"> 151        </t>
  </si>
  <si>
    <t xml:space="preserve"> 152        </t>
  </si>
  <si>
    <t xml:space="preserve"> 153        </t>
  </si>
  <si>
    <t xml:space="preserve"> 154        </t>
  </si>
  <si>
    <t xml:space="preserve"> 155        </t>
  </si>
  <si>
    <t xml:space="preserve"> 156        </t>
  </si>
  <si>
    <t xml:space="preserve"> 157        </t>
  </si>
  <si>
    <t xml:space="preserve"> 158        </t>
  </si>
  <si>
    <t xml:space="preserve"> 159        </t>
  </si>
  <si>
    <t xml:space="preserve"> 160        </t>
  </si>
  <si>
    <t xml:space="preserve"> 161        </t>
  </si>
  <si>
    <t xml:space="preserve"> 162        </t>
  </si>
  <si>
    <t xml:space="preserve"> 163        </t>
  </si>
  <si>
    <t xml:space="preserve"> 164        </t>
  </si>
  <si>
    <t xml:space="preserve"> 165        </t>
  </si>
  <si>
    <t xml:space="preserve"> 166        </t>
  </si>
  <si>
    <t xml:space="preserve"> 167        </t>
  </si>
  <si>
    <t xml:space="preserve"> 168        </t>
  </si>
  <si>
    <t xml:space="preserve"> 169        </t>
  </si>
  <si>
    <t xml:space="preserve"> 170        </t>
  </si>
  <si>
    <t xml:space="preserve"> 171        </t>
  </si>
  <si>
    <t xml:space="preserve"> 172        </t>
  </si>
  <si>
    <t xml:space="preserve"> 173        </t>
  </si>
  <si>
    <t xml:space="preserve"> 174        </t>
  </si>
  <si>
    <t xml:space="preserve"> 175        </t>
  </si>
  <si>
    <t xml:space="preserve"> 176        </t>
  </si>
  <si>
    <t xml:space="preserve"> 177        </t>
  </si>
  <si>
    <t xml:space="preserve"> 178        </t>
  </si>
  <si>
    <t xml:space="preserve"> 179        </t>
  </si>
  <si>
    <t xml:space="preserve"> 180        </t>
  </si>
  <si>
    <t xml:space="preserve"> 181        </t>
  </si>
  <si>
    <t xml:space="preserve"> 182        </t>
  </si>
  <si>
    <t xml:space="preserve"> 183        </t>
  </si>
  <si>
    <t xml:space="preserve"> 184        </t>
  </si>
  <si>
    <t xml:space="preserve"> 185        </t>
  </si>
  <si>
    <t xml:space="preserve"> 186        </t>
  </si>
  <si>
    <t xml:space="preserve"> 187        </t>
  </si>
  <si>
    <t xml:space="preserve"> 188        </t>
  </si>
  <si>
    <t xml:space="preserve"> 189        </t>
  </si>
  <si>
    <t xml:space="preserve"> 190        </t>
  </si>
  <si>
    <t xml:space="preserve"> 191        </t>
  </si>
  <si>
    <t xml:space="preserve"> 192        </t>
  </si>
  <si>
    <t xml:space="preserve"> 193        </t>
  </si>
  <si>
    <t xml:space="preserve"> 194        </t>
  </si>
  <si>
    <t xml:space="preserve"> 195        </t>
  </si>
  <si>
    <t xml:space="preserve"> 196        </t>
  </si>
  <si>
    <t xml:space="preserve"> 197        </t>
  </si>
  <si>
    <t xml:space="preserve"> 198        </t>
  </si>
  <si>
    <t xml:space="preserve"> 199        </t>
  </si>
  <si>
    <t xml:space="preserve"> 200        </t>
  </si>
  <si>
    <t xml:space="preserve"> 201        </t>
  </si>
  <si>
    <t xml:space="preserve"> 202        </t>
  </si>
  <si>
    <t xml:space="preserve"> 203        </t>
  </si>
  <si>
    <t xml:space="preserve"> 204        </t>
  </si>
  <si>
    <t xml:space="preserve"> 205        </t>
  </si>
  <si>
    <t xml:space="preserve"> 206        </t>
  </si>
  <si>
    <t xml:space="preserve"> 207        </t>
  </si>
  <si>
    <t xml:space="preserve"> 208        </t>
  </si>
  <si>
    <t xml:space="preserve"> 209        </t>
  </si>
  <si>
    <t xml:space="preserve"> 210        </t>
  </si>
  <si>
    <t xml:space="preserve"> 211        </t>
  </si>
  <si>
    <t xml:space="preserve"> 212        </t>
  </si>
  <si>
    <t xml:space="preserve"> 213        </t>
  </si>
  <si>
    <t xml:space="preserve"> 214        </t>
  </si>
  <si>
    <t xml:space="preserve"> 215        </t>
  </si>
  <si>
    <t xml:space="preserve"> 216        </t>
  </si>
  <si>
    <t xml:space="preserve"> 217        </t>
  </si>
  <si>
    <t xml:space="preserve"> 218        </t>
  </si>
  <si>
    <t xml:space="preserve"> 219        </t>
  </si>
  <si>
    <t xml:space="preserve"> 220        </t>
  </si>
  <si>
    <t xml:space="preserve"> 221        </t>
  </si>
  <si>
    <t xml:space="preserve"> 222        </t>
  </si>
  <si>
    <t xml:space="preserve"> 223        </t>
  </si>
  <si>
    <t xml:space="preserve"> 224        </t>
  </si>
  <si>
    <t xml:space="preserve"> 225        </t>
  </si>
  <si>
    <t xml:space="preserve"> 226        </t>
  </si>
  <si>
    <t xml:space="preserve"> 227        </t>
  </si>
  <si>
    <t xml:space="preserve"> 228        </t>
  </si>
  <si>
    <t xml:space="preserve"> 229        </t>
  </si>
  <si>
    <t xml:space="preserve"> 230        </t>
  </si>
  <si>
    <t xml:space="preserve"> 231        </t>
  </si>
  <si>
    <t xml:space="preserve"> 232        </t>
  </si>
  <si>
    <t xml:space="preserve"> 233        </t>
  </si>
  <si>
    <t xml:space="preserve"> 234        </t>
  </si>
  <si>
    <t xml:space="preserve"> 235        </t>
  </si>
  <si>
    <t xml:space="preserve"> 236        </t>
  </si>
  <si>
    <t xml:space="preserve"> 237        </t>
  </si>
  <si>
    <t xml:space="preserve"> 238        </t>
  </si>
  <si>
    <t xml:space="preserve"> 239        </t>
  </si>
  <si>
    <t xml:space="preserve"> 240        </t>
  </si>
  <si>
    <t xml:space="preserve"> 241        </t>
  </si>
  <si>
    <t xml:space="preserve"> 242        </t>
  </si>
  <si>
    <t xml:space="preserve"> 243        </t>
  </si>
  <si>
    <t xml:space="preserve"> 244        </t>
  </si>
  <si>
    <t xml:space="preserve"> 245        </t>
  </si>
  <si>
    <t xml:space="preserve"> 246        </t>
  </si>
  <si>
    <t xml:space="preserve"> 247        </t>
  </si>
  <si>
    <t xml:space="preserve"> 248        </t>
  </si>
  <si>
    <t xml:space="preserve"> 249        </t>
  </si>
  <si>
    <t xml:space="preserve"> 250        </t>
  </si>
  <si>
    <t xml:space="preserve"> 251        </t>
  </si>
  <si>
    <t xml:space="preserve"> 252        </t>
  </si>
  <si>
    <t xml:space="preserve"> 253        </t>
  </si>
  <si>
    <t xml:space="preserve"> 254        </t>
  </si>
  <si>
    <t xml:space="preserve"> 255        </t>
  </si>
  <si>
    <t xml:space="preserve"> 256        </t>
  </si>
  <si>
    <t xml:space="preserve"> 257        </t>
  </si>
  <si>
    <t xml:space="preserve"> 258        </t>
  </si>
  <si>
    <t xml:space="preserve"> 259        </t>
  </si>
  <si>
    <t xml:space="preserve"> 260        </t>
  </si>
  <si>
    <t xml:space="preserve"> 261        </t>
  </si>
  <si>
    <t xml:space="preserve"> 262        </t>
  </si>
  <si>
    <t xml:space="preserve"> 263        </t>
  </si>
  <si>
    <t xml:space="preserve"> 264        </t>
  </si>
  <si>
    <t xml:space="preserve"> 265        </t>
  </si>
  <si>
    <t xml:space="preserve"> 266        </t>
  </si>
  <si>
    <t xml:space="preserve"> 267        </t>
  </si>
  <si>
    <t xml:space="preserve"> 268        </t>
  </si>
  <si>
    <t xml:space="preserve"> 269        </t>
  </si>
  <si>
    <t xml:space="preserve"> 270        </t>
  </si>
  <si>
    <t xml:space="preserve"> 271        </t>
  </si>
  <si>
    <t xml:space="preserve"> 272        </t>
  </si>
  <si>
    <t xml:space="preserve"> 273        </t>
  </si>
  <si>
    <t xml:space="preserve"> 274        </t>
  </si>
  <si>
    <t xml:space="preserve"> 275        </t>
  </si>
  <si>
    <t xml:space="preserve"> 276        </t>
  </si>
  <si>
    <t xml:space="preserve"> 277        </t>
  </si>
  <si>
    <t xml:space="preserve"> 278        </t>
  </si>
  <si>
    <t xml:space="preserve"> 279        </t>
  </si>
  <si>
    <t xml:space="preserve"> 280        </t>
  </si>
  <si>
    <t xml:space="preserve"> 281        </t>
  </si>
  <si>
    <t xml:space="preserve"> 282        </t>
  </si>
  <si>
    <t xml:space="preserve"> 283        </t>
  </si>
  <si>
    <t xml:space="preserve"> 284        </t>
  </si>
  <si>
    <t xml:space="preserve"> 285        </t>
  </si>
  <si>
    <t xml:space="preserve"> 286        </t>
  </si>
  <si>
    <t xml:space="preserve"> 287        </t>
  </si>
  <si>
    <t xml:space="preserve"> 288        </t>
  </si>
  <si>
    <t xml:space="preserve"> 289        </t>
  </si>
  <si>
    <t xml:space="preserve"> 290        </t>
  </si>
  <si>
    <t xml:space="preserve"> 291        </t>
  </si>
  <si>
    <t xml:space="preserve"> 292        </t>
  </si>
  <si>
    <t xml:space="preserve"> 293        </t>
  </si>
  <si>
    <t xml:space="preserve"> 294        </t>
  </si>
  <si>
    <t xml:space="preserve"> 295        </t>
  </si>
  <si>
    <t xml:space="preserve"> 296        </t>
  </si>
  <si>
    <t xml:space="preserve"> 297        </t>
  </si>
  <si>
    <t xml:space="preserve"> 298        </t>
  </si>
  <si>
    <t xml:space="preserve"> 299        </t>
  </si>
  <si>
    <t xml:space="preserve"> 300        </t>
  </si>
  <si>
    <t xml:space="preserve"> 301        </t>
  </si>
  <si>
    <t xml:space="preserve"> 302        </t>
  </si>
  <si>
    <t xml:space="preserve"> 303        </t>
  </si>
  <si>
    <t xml:space="preserve"> 304        </t>
  </si>
  <si>
    <t xml:space="preserve"> 305        </t>
  </si>
  <si>
    <t xml:space="preserve"> 306        </t>
  </si>
  <si>
    <t xml:space="preserve"> 307        </t>
  </si>
  <si>
    <t xml:space="preserve"> 308        </t>
  </si>
  <si>
    <t xml:space="preserve"> 309        </t>
  </si>
  <si>
    <t xml:space="preserve"> 310        </t>
  </si>
  <si>
    <t xml:space="preserve"> 311        </t>
  </si>
  <si>
    <t xml:space="preserve"> 312        </t>
  </si>
  <si>
    <t xml:space="preserve"> 313        </t>
  </si>
  <si>
    <t xml:space="preserve"> 314        </t>
  </si>
  <si>
    <t xml:space="preserve"> 315        </t>
  </si>
  <si>
    <t xml:space="preserve"> 316        </t>
  </si>
  <si>
    <t xml:space="preserve"> 317        </t>
  </si>
  <si>
    <t xml:space="preserve"> 318        </t>
  </si>
  <si>
    <t xml:space="preserve"> 319        </t>
  </si>
  <si>
    <t xml:space="preserve"> 320        </t>
  </si>
  <si>
    <t xml:space="preserve"> 321        </t>
  </si>
  <si>
    <t xml:space="preserve"> 322        </t>
  </si>
  <si>
    <t xml:space="preserve"> 323        </t>
  </si>
  <si>
    <t xml:space="preserve"> 324        </t>
  </si>
  <si>
    <t xml:space="preserve"> 325        </t>
  </si>
  <si>
    <t xml:space="preserve"> 326        </t>
  </si>
  <si>
    <t xml:space="preserve"> 327        </t>
  </si>
  <si>
    <t xml:space="preserve"> 328        </t>
  </si>
  <si>
    <t xml:space="preserve"> 329        </t>
  </si>
  <si>
    <t xml:space="preserve"> 330        </t>
  </si>
  <si>
    <t xml:space="preserve"> 331        </t>
  </si>
  <si>
    <t xml:space="preserve"> 332        </t>
  </si>
  <si>
    <t xml:space="preserve"> 333        </t>
  </si>
  <si>
    <t xml:space="preserve"> 334        </t>
  </si>
  <si>
    <t xml:space="preserve"> 335        </t>
  </si>
  <si>
    <t xml:space="preserve"> 336        </t>
  </si>
  <si>
    <t xml:space="preserve"> 337        </t>
  </si>
  <si>
    <t xml:space="preserve"> 338        </t>
  </si>
  <si>
    <t xml:space="preserve"> 339        </t>
  </si>
  <si>
    <t xml:space="preserve"> 340        </t>
  </si>
  <si>
    <t xml:space="preserve"> 341        </t>
  </si>
  <si>
    <t xml:space="preserve"> 342        </t>
  </si>
  <si>
    <t xml:space="preserve"> 343        </t>
  </si>
  <si>
    <t xml:space="preserve"> 344        </t>
  </si>
  <si>
    <t xml:space="preserve"> 345        </t>
  </si>
  <si>
    <t xml:space="preserve"> 346        </t>
  </si>
  <si>
    <t xml:space="preserve"> 347        </t>
  </si>
  <si>
    <t xml:space="preserve"> 348        </t>
  </si>
  <si>
    <t xml:space="preserve"> 349        </t>
  </si>
  <si>
    <t xml:space="preserve"> 350        </t>
  </si>
  <si>
    <t xml:space="preserve"> 351        </t>
  </si>
  <si>
    <t xml:space="preserve"> 352        </t>
  </si>
  <si>
    <t xml:space="preserve"> 353        </t>
  </si>
  <si>
    <t xml:space="preserve"> 354        </t>
  </si>
  <si>
    <t xml:space="preserve"> 355        </t>
  </si>
  <si>
    <t xml:space="preserve"> 356        </t>
  </si>
  <si>
    <t xml:space="preserve"> 357        </t>
  </si>
  <si>
    <t xml:space="preserve"> 358        </t>
  </si>
  <si>
    <t xml:space="preserve"> 359        </t>
  </si>
  <si>
    <t xml:space="preserve"> 360        </t>
  </si>
  <si>
    <t xml:space="preserve"> 361        </t>
  </si>
  <si>
    <t xml:space="preserve"> 362        </t>
  </si>
  <si>
    <t xml:space="preserve"> 363        </t>
  </si>
  <si>
    <t xml:space="preserve"> 364        </t>
  </si>
  <si>
    <t xml:space="preserve"> 365        </t>
  </si>
  <si>
    <t xml:space="preserve"> 366        </t>
  </si>
  <si>
    <t xml:space="preserve"> 367        </t>
  </si>
  <si>
    <t xml:space="preserve"> 368        </t>
  </si>
  <si>
    <t xml:space="preserve"> 369        </t>
  </si>
  <si>
    <t xml:space="preserve"> 370        </t>
  </si>
  <si>
    <t xml:space="preserve"> 371        </t>
  </si>
  <si>
    <t xml:space="preserve"> 372        </t>
  </si>
  <si>
    <t xml:space="preserve"> 373        </t>
  </si>
  <si>
    <t xml:space="preserve"> 374        </t>
  </si>
  <si>
    <t xml:space="preserve"> 375        </t>
  </si>
  <si>
    <t xml:space="preserve"> 376        </t>
  </si>
  <si>
    <t xml:space="preserve"> 377        </t>
  </si>
  <si>
    <t xml:space="preserve"> 378        </t>
  </si>
  <si>
    <t xml:space="preserve"> 379        </t>
  </si>
  <si>
    <t xml:space="preserve"> 380        </t>
  </si>
  <si>
    <t xml:space="preserve"> 381        </t>
  </si>
  <si>
    <t xml:space="preserve"> 382        </t>
  </si>
  <si>
    <t xml:space="preserve"> 383        </t>
  </si>
  <si>
    <t xml:space="preserve"> 384        </t>
  </si>
  <si>
    <t xml:space="preserve"> 385        </t>
  </si>
  <si>
    <t xml:space="preserve"> 386        </t>
  </si>
  <si>
    <t xml:space="preserve"> 387        </t>
  </si>
  <si>
    <t xml:space="preserve"> 388        </t>
  </si>
  <si>
    <t xml:space="preserve"> 389        </t>
  </si>
  <si>
    <t xml:space="preserve"> 390        </t>
  </si>
  <si>
    <t xml:space="preserve"> 391        </t>
  </si>
  <si>
    <t xml:space="preserve"> 392        </t>
  </si>
  <si>
    <t xml:space="preserve"> 393        </t>
  </si>
  <si>
    <t xml:space="preserve"> 394        </t>
  </si>
  <si>
    <t xml:space="preserve"> 395        </t>
  </si>
  <si>
    <t xml:space="preserve"> 396        </t>
  </si>
  <si>
    <t xml:space="preserve"> 397        </t>
  </si>
  <si>
    <t xml:space="preserve"> 398        </t>
  </si>
  <si>
    <t xml:space="preserve"> 399        </t>
  </si>
  <si>
    <t xml:space="preserve"> 400        </t>
  </si>
  <si>
    <t xml:space="preserve"> 401        </t>
  </si>
  <si>
    <t xml:space="preserve"> 402        </t>
  </si>
  <si>
    <t xml:space="preserve"> 403        </t>
  </si>
  <si>
    <t xml:space="preserve"> 404        </t>
  </si>
  <si>
    <t xml:space="preserve"> 405        </t>
  </si>
  <si>
    <t xml:space="preserve"> 406        </t>
  </si>
  <si>
    <t xml:space="preserve"> 407        </t>
  </si>
  <si>
    <t xml:space="preserve"> 408        </t>
  </si>
  <si>
    <t xml:space="preserve"> 409        </t>
  </si>
  <si>
    <t xml:space="preserve"> 410        </t>
  </si>
  <si>
    <t xml:space="preserve"> 411        </t>
  </si>
  <si>
    <t xml:space="preserve"> 412        </t>
  </si>
  <si>
    <t xml:space="preserve"> 413        </t>
  </si>
  <si>
    <t xml:space="preserve"> 414        </t>
  </si>
  <si>
    <t xml:space="preserve"> 415        </t>
  </si>
  <si>
    <t xml:space="preserve"> 416        </t>
  </si>
  <si>
    <t xml:space="preserve"> 417        </t>
  </si>
  <si>
    <t xml:space="preserve"> 418        </t>
  </si>
  <si>
    <t xml:space="preserve"> 419        </t>
  </si>
  <si>
    <t xml:space="preserve"> 420        </t>
  </si>
  <si>
    <t xml:space="preserve"> 421        </t>
  </si>
  <si>
    <t xml:space="preserve"> 422        </t>
  </si>
  <si>
    <t xml:space="preserve"> 423        </t>
  </si>
  <si>
    <t xml:space="preserve"> 424        </t>
  </si>
  <si>
    <t xml:space="preserve"> 425        </t>
  </si>
  <si>
    <t xml:space="preserve"> 426        </t>
  </si>
  <si>
    <t xml:space="preserve"> 427        </t>
  </si>
  <si>
    <t xml:space="preserve"> 428        </t>
  </si>
  <si>
    <t xml:space="preserve"> 429        </t>
  </si>
  <si>
    <t xml:space="preserve"> 430        </t>
  </si>
  <si>
    <t xml:space="preserve"> 431        </t>
  </si>
  <si>
    <t xml:space="preserve"> 432        </t>
  </si>
  <si>
    <t xml:space="preserve"> 433        </t>
  </si>
  <si>
    <t xml:space="preserve"> 434        </t>
  </si>
  <si>
    <t xml:space="preserve"> 435        </t>
  </si>
  <si>
    <t xml:space="preserve"> 436        </t>
  </si>
  <si>
    <t xml:space="preserve"> 437        </t>
  </si>
  <si>
    <t xml:space="preserve"> 438        </t>
  </si>
  <si>
    <t xml:space="preserve"> 439        </t>
  </si>
  <si>
    <t xml:space="preserve"> 440        </t>
  </si>
  <si>
    <t xml:space="preserve"> 441        </t>
  </si>
  <si>
    <t xml:space="preserve"> 442        </t>
  </si>
  <si>
    <t xml:space="preserve"> 443        </t>
  </si>
  <si>
    <t xml:space="preserve"> 444        </t>
  </si>
  <si>
    <t xml:space="preserve"> 445        </t>
  </si>
  <si>
    <t xml:space="preserve"> 446        </t>
  </si>
  <si>
    <t xml:space="preserve"> 447        </t>
  </si>
  <si>
    <t xml:space="preserve"> 448        </t>
  </si>
  <si>
    <t xml:space="preserve"> 449        </t>
  </si>
  <si>
    <t xml:space="preserve"> 450        </t>
  </si>
  <si>
    <t xml:space="preserve"> 451        </t>
  </si>
  <si>
    <t xml:space="preserve"> 452        </t>
  </si>
  <si>
    <t xml:space="preserve"> 453        </t>
  </si>
  <si>
    <t xml:space="preserve"> 454        </t>
  </si>
  <si>
    <t xml:space="preserve"> 455        </t>
  </si>
  <si>
    <t xml:space="preserve"> 456        </t>
  </si>
  <si>
    <t xml:space="preserve"> 457        </t>
  </si>
  <si>
    <t xml:space="preserve"> 458        </t>
  </si>
  <si>
    <t xml:space="preserve"> 459        </t>
  </si>
  <si>
    <t xml:space="preserve"> 460        </t>
  </si>
  <si>
    <t xml:space="preserve"> 461        </t>
  </si>
  <si>
    <t xml:space="preserve"> 462        </t>
  </si>
  <si>
    <t xml:space="preserve"> 463        </t>
  </si>
  <si>
    <t xml:space="preserve"> 464        </t>
  </si>
  <si>
    <t xml:space="preserve"> 465        </t>
  </si>
  <si>
    <t xml:space="preserve"> 466        </t>
  </si>
  <si>
    <t xml:space="preserve"> 467        </t>
  </si>
  <si>
    <t xml:space="preserve"> 468        </t>
  </si>
  <si>
    <t xml:space="preserve"> 469        </t>
  </si>
  <si>
    <t xml:space="preserve"> 470        </t>
  </si>
  <si>
    <t xml:space="preserve"> 471        </t>
  </si>
  <si>
    <t xml:space="preserve"> 472        </t>
  </si>
  <si>
    <t xml:space="preserve"> 473        </t>
  </si>
  <si>
    <t xml:space="preserve"> 474        </t>
  </si>
  <si>
    <t xml:space="preserve"> 475        </t>
  </si>
  <si>
    <t xml:space="preserve"> 476        </t>
  </si>
  <si>
    <t xml:space="preserve"> 477        </t>
  </si>
  <si>
    <t xml:space="preserve"> 478        </t>
  </si>
  <si>
    <t xml:space="preserve"> 479        </t>
  </si>
  <si>
    <t xml:space="preserve"> 480        </t>
  </si>
  <si>
    <t xml:space="preserve"> 481        </t>
  </si>
  <si>
    <t xml:space="preserve"> 482        </t>
  </si>
  <si>
    <t xml:space="preserve"> 483        </t>
  </si>
  <si>
    <t xml:space="preserve"> 484        </t>
  </si>
  <si>
    <t xml:space="preserve"> 485        </t>
  </si>
  <si>
    <t xml:space="preserve"> 486        </t>
  </si>
  <si>
    <t xml:space="preserve"> 487        </t>
  </si>
  <si>
    <t xml:space="preserve"> 488        </t>
  </si>
  <si>
    <t xml:space="preserve"> 489        </t>
  </si>
  <si>
    <t xml:space="preserve"> 490        </t>
  </si>
  <si>
    <t xml:space="preserve"> 491        </t>
  </si>
  <si>
    <t xml:space="preserve"> 492        </t>
  </si>
  <si>
    <t xml:space="preserve"> 493        </t>
  </si>
  <si>
    <t xml:space="preserve"> 494        </t>
  </si>
  <si>
    <t xml:space="preserve"> 495        </t>
  </si>
  <si>
    <t xml:space="preserve"> 496        </t>
  </si>
  <si>
    <t xml:space="preserve"> 497        </t>
  </si>
  <si>
    <t xml:space="preserve"> 498        </t>
  </si>
  <si>
    <t xml:space="preserve"> 499        </t>
  </si>
  <si>
    <t xml:space="preserve"> 500        </t>
  </si>
  <si>
    <t xml:space="preserve"> 501        </t>
  </si>
  <si>
    <t xml:space="preserve"> 502        </t>
  </si>
  <si>
    <t xml:space="preserve"> 503        </t>
  </si>
  <si>
    <t xml:space="preserve"> 504        </t>
  </si>
  <si>
    <t xml:space="preserve"> 505        </t>
  </si>
  <si>
    <t xml:space="preserve"> 506        </t>
  </si>
  <si>
    <t xml:space="preserve"> 507        </t>
  </si>
  <si>
    <t xml:space="preserve"> 508        </t>
  </si>
  <si>
    <t xml:space="preserve"> 509        </t>
  </si>
  <si>
    <t xml:space="preserve"> 510        </t>
  </si>
  <si>
    <t xml:space="preserve"> 511        </t>
  </si>
  <si>
    <t xml:space="preserve"> 512        </t>
  </si>
  <si>
    <t xml:space="preserve"> 513        </t>
  </si>
  <si>
    <t xml:space="preserve"> 514        </t>
  </si>
  <si>
    <t xml:space="preserve"> 515        </t>
  </si>
  <si>
    <t xml:space="preserve"> 516        </t>
  </si>
  <si>
    <t xml:space="preserve"> 517        </t>
  </si>
  <si>
    <t xml:space="preserve"> 518        </t>
  </si>
  <si>
    <t xml:space="preserve"> 519        </t>
  </si>
  <si>
    <t xml:space="preserve"> 520        </t>
  </si>
  <si>
    <t xml:space="preserve"> 521        </t>
  </si>
  <si>
    <t xml:space="preserve"> 522        </t>
  </si>
  <si>
    <t xml:space="preserve"> 523        </t>
  </si>
  <si>
    <t xml:space="preserve"> 524        </t>
  </si>
  <si>
    <t xml:space="preserve"> 525        </t>
  </si>
  <si>
    <t xml:space="preserve"> 526        </t>
  </si>
  <si>
    <t xml:space="preserve"> 527        </t>
  </si>
  <si>
    <t xml:space="preserve"> 528        </t>
  </si>
  <si>
    <t xml:space="preserve"> 529        </t>
  </si>
  <si>
    <t xml:space="preserve"> 530        </t>
  </si>
  <si>
    <t xml:space="preserve"> 531        </t>
  </si>
  <si>
    <t xml:space="preserve"> 532        </t>
  </si>
  <si>
    <t xml:space="preserve"> 533        </t>
  </si>
  <si>
    <t xml:space="preserve"> 534        </t>
  </si>
  <si>
    <t xml:space="preserve"> 535        </t>
  </si>
  <si>
    <t xml:space="preserve"> 536        </t>
  </si>
  <si>
    <t xml:space="preserve"> 537        </t>
  </si>
  <si>
    <t xml:space="preserve"> 538        </t>
  </si>
  <si>
    <t xml:space="preserve"> 539        </t>
  </si>
  <si>
    <t xml:space="preserve"> 540        </t>
  </si>
  <si>
    <t xml:space="preserve"> 541        </t>
  </si>
  <si>
    <t xml:space="preserve"> 542        </t>
  </si>
  <si>
    <t xml:space="preserve"> 543        </t>
  </si>
  <si>
    <t xml:space="preserve"> 544        </t>
  </si>
  <si>
    <t xml:space="preserve"> 545        </t>
  </si>
  <si>
    <t xml:space="preserve"> 546        </t>
  </si>
  <si>
    <t xml:space="preserve"> 547        </t>
  </si>
  <si>
    <t xml:space="preserve"> 548        </t>
  </si>
  <si>
    <t xml:space="preserve"> 549        </t>
  </si>
  <si>
    <t xml:space="preserve"> 550        </t>
  </si>
  <si>
    <t xml:space="preserve"> 551        </t>
  </si>
  <si>
    <t xml:space="preserve"> 552        </t>
  </si>
  <si>
    <t xml:space="preserve"> 553        </t>
  </si>
  <si>
    <t xml:space="preserve"> 554        </t>
  </si>
  <si>
    <t xml:space="preserve"> 555        </t>
  </si>
  <si>
    <t xml:space="preserve"> 556        </t>
  </si>
  <si>
    <t xml:space="preserve"> 557        </t>
  </si>
  <si>
    <t xml:space="preserve"> 558        </t>
  </si>
  <si>
    <t xml:space="preserve"> 559        </t>
  </si>
  <si>
    <t xml:space="preserve"> 560        </t>
  </si>
  <si>
    <t xml:space="preserve"> 561        </t>
  </si>
  <si>
    <t xml:space="preserve"> 562        </t>
  </si>
  <si>
    <t xml:space="preserve"> 563        </t>
  </si>
  <si>
    <t xml:space="preserve"> 564        </t>
  </si>
  <si>
    <t xml:space="preserve"> 565        </t>
  </si>
  <si>
    <t xml:space="preserve"> 566        </t>
  </si>
  <si>
    <t xml:space="preserve"> 567        </t>
  </si>
  <si>
    <t xml:space="preserve"> 568        </t>
  </si>
  <si>
    <t xml:space="preserve"> 569        </t>
  </si>
  <si>
    <t xml:space="preserve"> 570        </t>
  </si>
  <si>
    <t xml:space="preserve"> 571        </t>
  </si>
  <si>
    <t xml:space="preserve"> 572        </t>
  </si>
  <si>
    <t xml:space="preserve"> 573        </t>
  </si>
  <si>
    <t xml:space="preserve"> 574        </t>
  </si>
  <si>
    <t xml:space="preserve"> 575        </t>
  </si>
  <si>
    <t xml:space="preserve"> 576        </t>
  </si>
  <si>
    <t xml:space="preserve"> 577        </t>
  </si>
  <si>
    <t xml:space="preserve"> 578        </t>
  </si>
  <si>
    <t xml:space="preserve"> 579        </t>
  </si>
  <si>
    <t xml:space="preserve"> 580        </t>
  </si>
  <si>
    <t xml:space="preserve"> 581        </t>
  </si>
  <si>
    <t xml:space="preserve"> 582        </t>
  </si>
  <si>
    <t xml:space="preserve"> 583        </t>
  </si>
  <si>
    <t xml:space="preserve"> 584        </t>
  </si>
  <si>
    <t xml:space="preserve"> 585        </t>
  </si>
  <si>
    <t xml:space="preserve"> 586        </t>
  </si>
  <si>
    <t xml:space="preserve"> 587        </t>
  </si>
  <si>
    <t xml:space="preserve"> 588        </t>
  </si>
  <si>
    <t xml:space="preserve"> 589        </t>
  </si>
  <si>
    <t xml:space="preserve"> 590        </t>
  </si>
  <si>
    <t xml:space="preserve"> 591        </t>
  </si>
  <si>
    <t xml:space="preserve"> 592        </t>
  </si>
  <si>
    <t xml:space="preserve"> 593        </t>
  </si>
  <si>
    <t xml:space="preserve"> 594        </t>
  </si>
  <si>
    <t xml:space="preserve"> 595        </t>
  </si>
  <si>
    <t xml:space="preserve"> 596        </t>
  </si>
  <si>
    <t xml:space="preserve"> 597        </t>
  </si>
  <si>
    <t xml:space="preserve"> 598        </t>
  </si>
  <si>
    <t xml:space="preserve"> 599        </t>
  </si>
  <si>
    <t xml:space="preserve"> 600        </t>
  </si>
  <si>
    <t xml:space="preserve"> 601        </t>
  </si>
  <si>
    <t xml:space="preserve"> 602        </t>
  </si>
  <si>
    <t xml:space="preserve"> 603        </t>
  </si>
  <si>
    <t xml:space="preserve"> 604        </t>
  </si>
  <si>
    <t xml:space="preserve"> 605        </t>
  </si>
  <si>
    <t xml:space="preserve"> 606        </t>
  </si>
  <si>
    <t xml:space="preserve"> 607        </t>
  </si>
  <si>
    <t xml:space="preserve"> 608        </t>
  </si>
  <si>
    <t xml:space="preserve"> 609        </t>
  </si>
  <si>
    <t xml:space="preserve"> 610        </t>
  </si>
  <si>
    <t xml:space="preserve"> 611        </t>
  </si>
  <si>
    <t xml:space="preserve"> 612        </t>
  </si>
  <si>
    <t xml:space="preserve"> 613        </t>
  </si>
  <si>
    <t xml:space="preserve"> 614        </t>
  </si>
  <si>
    <t xml:space="preserve"> 615        </t>
  </si>
  <si>
    <t xml:space="preserve"> 616        </t>
  </si>
  <si>
    <t xml:space="preserve"> 617        </t>
  </si>
  <si>
    <t xml:space="preserve"> 618        </t>
  </si>
  <si>
    <t xml:space="preserve"> 619        </t>
  </si>
  <si>
    <t xml:space="preserve"> 620        </t>
  </si>
  <si>
    <t xml:space="preserve"> 621        </t>
  </si>
  <si>
    <t xml:space="preserve"> 622        </t>
  </si>
  <si>
    <t xml:space="preserve"> 623        </t>
  </si>
  <si>
    <t xml:space="preserve"> 624        </t>
  </si>
  <si>
    <t xml:space="preserve"> 625        </t>
  </si>
  <si>
    <t xml:space="preserve"> 626        </t>
  </si>
  <si>
    <t xml:space="preserve"> 627        </t>
  </si>
  <si>
    <t xml:space="preserve"> 628        </t>
  </si>
  <si>
    <t xml:space="preserve"> 629        </t>
  </si>
  <si>
    <t xml:space="preserve"> 630        </t>
  </si>
  <si>
    <t xml:space="preserve"> 631        </t>
  </si>
  <si>
    <t xml:space="preserve"> 632        </t>
  </si>
  <si>
    <t xml:space="preserve"> 633        </t>
  </si>
  <si>
    <t xml:space="preserve"> 634        </t>
  </si>
  <si>
    <t xml:space="preserve"> 635        </t>
  </si>
  <si>
    <t xml:space="preserve"> 636        </t>
  </si>
  <si>
    <t xml:space="preserve"> 637        </t>
  </si>
  <si>
    <t xml:space="preserve"> 638        </t>
  </si>
  <si>
    <t xml:space="preserve"> 639        </t>
  </si>
  <si>
    <t xml:space="preserve"> 640        </t>
  </si>
  <si>
    <t xml:space="preserve"> 641        </t>
  </si>
  <si>
    <t xml:space="preserve"> 642        </t>
  </si>
  <si>
    <t xml:space="preserve"> 643        </t>
  </si>
  <si>
    <t xml:space="preserve"> 644        </t>
  </si>
  <si>
    <t xml:space="preserve"> 645        </t>
  </si>
  <si>
    <t xml:space="preserve"> 646        </t>
  </si>
  <si>
    <t xml:space="preserve"> 647        </t>
  </si>
  <si>
    <t xml:space="preserve"> 648        </t>
  </si>
  <si>
    <t xml:space="preserve"> 649        </t>
  </si>
  <si>
    <t xml:space="preserve"> 650        </t>
  </si>
  <si>
    <t xml:space="preserve"> 651        </t>
  </si>
  <si>
    <t xml:space="preserve"> 652        </t>
  </si>
  <si>
    <t xml:space="preserve"> 653        </t>
  </si>
  <si>
    <t xml:space="preserve"> 654        </t>
  </si>
  <si>
    <t xml:space="preserve"> 655        </t>
  </si>
  <si>
    <t xml:space="preserve"> 656        </t>
  </si>
  <si>
    <t xml:space="preserve"> 657        </t>
  </si>
  <si>
    <t xml:space="preserve"> 658        </t>
  </si>
  <si>
    <t xml:space="preserve"> 659        </t>
  </si>
  <si>
    <t xml:space="preserve"> 660        </t>
  </si>
  <si>
    <t xml:space="preserve"> 661        </t>
  </si>
  <si>
    <t xml:space="preserve"> 662        </t>
  </si>
  <si>
    <t xml:space="preserve"> 663        </t>
  </si>
  <si>
    <t xml:space="preserve"> 664        </t>
  </si>
  <si>
    <t xml:space="preserve"> 665        </t>
  </si>
  <si>
    <t xml:space="preserve"> 666        </t>
  </si>
  <si>
    <t xml:space="preserve"> 667        </t>
  </si>
  <si>
    <t xml:space="preserve"> 668        </t>
  </si>
  <si>
    <t xml:space="preserve"> 669        </t>
  </si>
  <si>
    <t xml:space="preserve"> 670        </t>
  </si>
  <si>
    <t xml:space="preserve"> 671        </t>
  </si>
  <si>
    <t xml:space="preserve"> 672        </t>
  </si>
  <si>
    <t xml:space="preserve"> 673        </t>
  </si>
  <si>
    <t xml:space="preserve"> 674        </t>
  </si>
  <si>
    <t xml:space="preserve"> 675        </t>
  </si>
  <si>
    <t xml:space="preserve"> 676        </t>
  </si>
  <si>
    <t xml:space="preserve"> 677        </t>
  </si>
  <si>
    <t xml:space="preserve"> 678        </t>
  </si>
  <si>
    <t xml:space="preserve"> 679        </t>
  </si>
  <si>
    <t xml:space="preserve"> 680        </t>
  </si>
  <si>
    <t xml:space="preserve"> 681        </t>
  </si>
  <si>
    <t xml:space="preserve"> 682        </t>
  </si>
  <si>
    <t xml:space="preserve"> 683        </t>
  </si>
  <si>
    <t xml:space="preserve"> 684        </t>
  </si>
  <si>
    <t xml:space="preserve"> 685        </t>
  </si>
  <si>
    <t xml:space="preserve"> 686        </t>
  </si>
  <si>
    <t xml:space="preserve"> 687        </t>
  </si>
  <si>
    <t xml:space="preserve"> 688        </t>
  </si>
  <si>
    <t xml:space="preserve"> 689        </t>
  </si>
  <si>
    <t xml:space="preserve"> 690        </t>
  </si>
  <si>
    <t xml:space="preserve"> 691        </t>
  </si>
  <si>
    <t xml:space="preserve"> 692        </t>
  </si>
  <si>
    <t xml:space="preserve"> 693        </t>
  </si>
  <si>
    <t xml:space="preserve"> 694        </t>
  </si>
  <si>
    <t xml:space="preserve"> 695        </t>
  </si>
  <si>
    <t xml:space="preserve"> 696        </t>
  </si>
  <si>
    <t xml:space="preserve"> 697        </t>
  </si>
  <si>
    <t xml:space="preserve"> 698        </t>
  </si>
  <si>
    <t xml:space="preserve"> 699        </t>
  </si>
  <si>
    <t xml:space="preserve"> 700        </t>
  </si>
  <si>
    <t xml:space="preserve"> 701        </t>
  </si>
  <si>
    <t xml:space="preserve"> 702        </t>
  </si>
  <si>
    <t xml:space="preserve"> 703        </t>
  </si>
  <si>
    <t xml:space="preserve"> 704        </t>
  </si>
  <si>
    <t xml:space="preserve"> 705        </t>
  </si>
  <si>
    <t xml:space="preserve"> 706        </t>
  </si>
  <si>
    <t xml:space="preserve"> 707        </t>
  </si>
  <si>
    <t xml:space="preserve"> 708        </t>
  </si>
  <si>
    <t xml:space="preserve"> 709        </t>
  </si>
  <si>
    <t xml:space="preserve"> 710        </t>
  </si>
  <si>
    <t xml:space="preserve"> 711        </t>
  </si>
  <si>
    <t xml:space="preserve"> 712        </t>
  </si>
  <si>
    <t xml:space="preserve"> 713        </t>
  </si>
  <si>
    <t xml:space="preserve"> 714        </t>
  </si>
  <si>
    <t xml:space="preserve"> 715        </t>
  </si>
  <si>
    <t xml:space="preserve"> 716        </t>
  </si>
  <si>
    <t xml:space="preserve"> 717        </t>
  </si>
  <si>
    <t xml:space="preserve"> 718        </t>
  </si>
  <si>
    <t xml:space="preserve"> 719        </t>
  </si>
  <si>
    <t xml:space="preserve"> 720        </t>
  </si>
  <si>
    <t xml:space="preserve"> 721        </t>
  </si>
  <si>
    <t xml:space="preserve"> 722        </t>
  </si>
  <si>
    <t xml:space="preserve"> 723        </t>
  </si>
  <si>
    <t xml:space="preserve"> 724        </t>
  </si>
  <si>
    <t xml:space="preserve"> 725        </t>
  </si>
  <si>
    <t xml:space="preserve"> 726        </t>
  </si>
  <si>
    <t xml:space="preserve"> 727        </t>
  </si>
  <si>
    <t xml:space="preserve"> 728        </t>
  </si>
  <si>
    <t xml:space="preserve"> 729        </t>
  </si>
  <si>
    <t xml:space="preserve"> 730        </t>
  </si>
  <si>
    <t xml:space="preserve"> 731        </t>
  </si>
  <si>
    <t xml:space="preserve"> 732        </t>
  </si>
  <si>
    <t xml:space="preserve"> 733        </t>
  </si>
  <si>
    <t xml:space="preserve"> 734        </t>
  </si>
  <si>
    <t xml:space="preserve"> 735        </t>
  </si>
  <si>
    <t xml:space="preserve"> 736        </t>
  </si>
  <si>
    <t xml:space="preserve"> 737        </t>
  </si>
  <si>
    <t xml:space="preserve"> 738        </t>
  </si>
  <si>
    <t xml:space="preserve"> 739        </t>
  </si>
  <si>
    <t xml:space="preserve"> 740        </t>
  </si>
  <si>
    <t xml:space="preserve"> 741        </t>
  </si>
  <si>
    <t xml:space="preserve"> 742        </t>
  </si>
  <si>
    <t xml:space="preserve"> 743        </t>
  </si>
  <si>
    <t xml:space="preserve"> 744        </t>
  </si>
  <si>
    <t xml:space="preserve"> 745        </t>
  </si>
  <si>
    <t xml:space="preserve"> 746        </t>
  </si>
  <si>
    <t xml:space="preserve"> 747        </t>
  </si>
  <si>
    <t xml:space="preserve"> 748        </t>
  </si>
  <si>
    <t xml:space="preserve"> 749        </t>
  </si>
  <si>
    <t xml:space="preserve"> 750        </t>
  </si>
  <si>
    <t xml:space="preserve"> 751        </t>
  </si>
  <si>
    <t xml:space="preserve"> 752        </t>
  </si>
  <si>
    <t xml:space="preserve"> 753        </t>
  </si>
  <si>
    <t xml:space="preserve"> 754        </t>
  </si>
  <si>
    <t xml:space="preserve"> 755        </t>
  </si>
  <si>
    <t xml:space="preserve"> 756        </t>
  </si>
  <si>
    <t xml:space="preserve"> 757        </t>
  </si>
  <si>
    <t xml:space="preserve"> 758        </t>
  </si>
  <si>
    <t xml:space="preserve"> 759        </t>
  </si>
  <si>
    <t xml:space="preserve"> 760        </t>
  </si>
  <si>
    <t xml:space="preserve"> 761        </t>
  </si>
  <si>
    <t xml:space="preserve"> 762        </t>
  </si>
  <si>
    <t xml:space="preserve"> 763        </t>
  </si>
  <si>
    <t xml:space="preserve"> 764        </t>
  </si>
  <si>
    <t xml:space="preserve"> 765        </t>
  </si>
  <si>
    <t xml:space="preserve"> 766        </t>
  </si>
  <si>
    <t xml:space="preserve"> 767        </t>
  </si>
  <si>
    <t xml:space="preserve"> 768        </t>
  </si>
  <si>
    <t xml:space="preserve"> 769        </t>
  </si>
  <si>
    <t xml:space="preserve"> 770        </t>
  </si>
  <si>
    <t xml:space="preserve"> 771        </t>
  </si>
  <si>
    <t xml:space="preserve"> 772        </t>
  </si>
  <si>
    <t xml:space="preserve"> 773        </t>
  </si>
  <si>
    <t xml:space="preserve"> 774        </t>
  </si>
  <si>
    <t xml:space="preserve"> 775        </t>
  </si>
  <si>
    <t xml:space="preserve"> 776        </t>
  </si>
  <si>
    <t xml:space="preserve"> 777        </t>
  </si>
  <si>
    <t xml:space="preserve"> 778        </t>
  </si>
  <si>
    <t xml:space="preserve"> 779        </t>
  </si>
  <si>
    <t xml:space="preserve"> 780        </t>
  </si>
  <si>
    <t>Performance Rate</t>
  </si>
  <si>
    <t>Meets Expectation</t>
  </si>
  <si>
    <t>Exceeds Expectation</t>
  </si>
  <si>
    <t>Need Improvement</t>
  </si>
  <si>
    <t>Outsanding</t>
  </si>
  <si>
    <t>Unsatisfactory</t>
  </si>
  <si>
    <t>Age Group</t>
  </si>
  <si>
    <t>26-30years</t>
  </si>
  <si>
    <t>31-35years</t>
  </si>
  <si>
    <t>41-45years</t>
  </si>
  <si>
    <t>36-40years</t>
  </si>
  <si>
    <t>46-50years</t>
  </si>
  <si>
    <t>Salary Range</t>
  </si>
  <si>
    <t>Very Low</t>
  </si>
  <si>
    <t>High</t>
  </si>
  <si>
    <t>Low</t>
  </si>
  <si>
    <t>Very High</t>
  </si>
  <si>
    <t>Satisfaction Range</t>
  </si>
  <si>
    <t>Neutral</t>
  </si>
  <si>
    <t>Satisfied</t>
  </si>
  <si>
    <t>Dissatisfied</t>
  </si>
  <si>
    <t>Very Satisfied</t>
  </si>
  <si>
    <t>Very Dissatisfied</t>
  </si>
  <si>
    <t>Service Year Bucket</t>
  </si>
  <si>
    <t>Developing</t>
  </si>
  <si>
    <t>Early</t>
  </si>
  <si>
    <t>Experienced</t>
  </si>
  <si>
    <t>Veteran</t>
  </si>
  <si>
    <t>Total Staff</t>
  </si>
  <si>
    <t>Yes Staff(No. of Employee who left)</t>
  </si>
  <si>
    <t>No</t>
  </si>
  <si>
    <t>Yes</t>
  </si>
  <si>
    <t>No staff(No. of Employees who are still there)</t>
  </si>
  <si>
    <t>Attrition Rate</t>
  </si>
  <si>
    <t>Average Age</t>
  </si>
  <si>
    <t>Average Salary</t>
  </si>
  <si>
    <t>Average Year of Service</t>
  </si>
  <si>
    <t>Average Performance Rating</t>
  </si>
  <si>
    <t>Average Satisfaction Score</t>
  </si>
  <si>
    <t>Count of Attrition</t>
  </si>
  <si>
    <t>Row Labels</t>
  </si>
  <si>
    <t>Grand Total</t>
  </si>
  <si>
    <t>Attrition by Age Group</t>
  </si>
  <si>
    <t>Attrition by Gender</t>
  </si>
  <si>
    <t>Attrition by Job Satisfaction</t>
  </si>
  <si>
    <t>Attrition by Performance Rating</t>
  </si>
  <si>
    <t>Attrition by Department</t>
  </si>
  <si>
    <t xml:space="preserve"> Accountant</t>
  </si>
  <si>
    <t xml:space="preserve"> Analyst</t>
  </si>
  <si>
    <t xml:space="preserve"> Engineer</t>
  </si>
  <si>
    <t xml:space="preserve"> Manager</t>
  </si>
  <si>
    <t xml:space="preserve"> Sales Rep</t>
  </si>
  <si>
    <t xml:space="preserve"> Specialist</t>
  </si>
  <si>
    <t>Attrition by Job Role</t>
  </si>
  <si>
    <t>Attrition by Year of Service</t>
  </si>
  <si>
    <t>Attrition by salary</t>
  </si>
  <si>
    <t>Maximun Salary</t>
  </si>
  <si>
    <t>Minimum Salary</t>
  </si>
  <si>
    <t>High Performers</t>
  </si>
  <si>
    <t>Distinct Count of Department</t>
  </si>
  <si>
    <t>Distinct Count of Job Role</t>
  </si>
  <si>
    <t>Count of Department</t>
  </si>
  <si>
    <t>Count of Attrition2</t>
  </si>
  <si>
    <t>unsatisfactory</t>
  </si>
  <si>
    <t>outstanding</t>
  </si>
  <si>
    <t>need improvement</t>
  </si>
  <si>
    <t>meets expectation</t>
  </si>
  <si>
    <t>exceed expectation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</si>
</sst>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0.00;\-\$#,##0.00;\$#,##0.00"/>
    <numFmt numFmtId="165" formatCode="&quot;$&quot;#,##0.00"/>
  </numFmts>
  <fonts count="11" x14ac:knownFonts="1">
    <font>
      <sz val="11"/>
      <color theme="1"/>
      <name val="Aptos Narrow"/>
      <family val="2"/>
      <scheme val="minor"/>
    </font>
    <font>
      <sz val="11"/>
      <color rgb="FFC00000"/>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b/>
      <sz val="18"/>
      <color theme="0"/>
      <name val="Aptos Narrow"/>
      <family val="2"/>
      <scheme val="minor"/>
    </font>
    <font>
      <b/>
      <sz val="22"/>
      <color theme="0"/>
      <name val="Aptos Narrow"/>
      <family val="2"/>
      <scheme val="minor"/>
    </font>
    <font>
      <b/>
      <sz val="24"/>
      <color theme="0"/>
      <name val="Aptos Narrow"/>
      <family val="2"/>
      <scheme val="minor"/>
    </font>
    <font>
      <b/>
      <sz val="26"/>
      <color theme="0"/>
      <name val="Aptos Narrow"/>
      <family val="2"/>
      <scheme val="minor"/>
    </font>
    <font>
      <sz val="22"/>
      <color rgb="FFC00000"/>
      <name val="Aptos Narrow"/>
      <family val="2"/>
      <scheme val="minor"/>
    </font>
    <font>
      <b/>
      <sz val="28"/>
      <color theme="0"/>
      <name val="Aptos Narrow"/>
      <family val="2"/>
      <scheme val="minor"/>
    </font>
  </fonts>
  <fills count="5">
    <fill>
      <patternFill patternType="none"/>
    </fill>
    <fill>
      <patternFill patternType="gray125"/>
    </fill>
    <fill>
      <patternFill patternType="solid">
        <fgColor rgb="FFB7560D"/>
        <bgColor indexed="64"/>
      </patternFill>
    </fill>
    <fill>
      <patternFill patternType="solid">
        <fgColor rgb="FF92D050"/>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28">
    <xf numFmtId="0" fontId="0" fillId="0" borderId="0" xfId="0"/>
    <xf numFmtId="0" fontId="0" fillId="0" borderId="0" xfId="0" applyNumberFormat="1"/>
    <xf numFmtId="1" fontId="0" fillId="0" borderId="0" xfId="0" applyNumberFormat="1"/>
    <xf numFmtId="0" fontId="0" fillId="0" borderId="0" xfId="0" pivotButton="1"/>
    <xf numFmtId="3" fontId="0" fillId="0" borderId="0" xfId="0" applyNumberFormat="1"/>
    <xf numFmtId="164" fontId="0" fillId="0" borderId="0" xfId="0" applyNumberFormat="1"/>
    <xf numFmtId="2" fontId="0" fillId="0" borderId="0" xfId="0" applyNumberFormat="1"/>
    <xf numFmtId="0" fontId="0" fillId="0" borderId="0" xfId="0" applyAlignment="1">
      <alignment horizontal="left"/>
    </xf>
    <xf numFmtId="44" fontId="0" fillId="0" borderId="0" xfId="0" applyNumberFormat="1"/>
    <xf numFmtId="0" fontId="1" fillId="2" borderId="0" xfId="0" applyFont="1" applyFill="1"/>
    <xf numFmtId="0" fontId="0" fillId="2" borderId="0" xfId="0" applyFill="1"/>
    <xf numFmtId="0" fontId="2" fillId="2" borderId="0" xfId="0" applyFont="1" applyFill="1"/>
    <xf numFmtId="165" fontId="1" fillId="2" borderId="0" xfId="0" applyNumberFormat="1" applyFont="1" applyFill="1"/>
    <xf numFmtId="10" fontId="0" fillId="0" borderId="0" xfId="0" applyNumberFormat="1"/>
    <xf numFmtId="0" fontId="0" fillId="3" borderId="0" xfId="0" applyFill="1" applyAlignment="1">
      <alignment horizontal="left"/>
    </xf>
    <xf numFmtId="0" fontId="0" fillId="3" borderId="0" xfId="0" applyNumberFormat="1" applyFill="1"/>
    <xf numFmtId="10" fontId="0" fillId="3" borderId="0" xfId="0" applyNumberFormat="1" applyFill="1"/>
    <xf numFmtId="0" fontId="0" fillId="4" borderId="0" xfId="0" applyFill="1" applyAlignment="1">
      <alignment horizontal="left"/>
    </xf>
    <xf numFmtId="0" fontId="0" fillId="4" borderId="0" xfId="0" applyNumberFormat="1" applyFill="1"/>
    <xf numFmtId="10" fontId="0" fillId="4" borderId="0" xfId="0" applyNumberFormat="1" applyFill="1"/>
    <xf numFmtId="0" fontId="7" fillId="2" borderId="0" xfId="0" applyFont="1" applyFill="1" applyAlignment="1">
      <alignment horizontal="center"/>
    </xf>
    <xf numFmtId="0" fontId="8" fillId="2" borderId="0" xfId="0" applyFont="1" applyFill="1" applyAlignment="1">
      <alignment horizontal="center"/>
    </xf>
    <xf numFmtId="44" fontId="5" fillId="2" borderId="0" xfId="1" applyFont="1" applyFill="1" applyAlignment="1">
      <alignment horizontal="center"/>
    </xf>
    <xf numFmtId="1" fontId="7" fillId="2" borderId="0" xfId="0" applyNumberFormat="1" applyFont="1" applyFill="1" applyAlignment="1">
      <alignment horizontal="center"/>
    </xf>
    <xf numFmtId="1" fontId="8" fillId="2" borderId="0" xfId="0" applyNumberFormat="1" applyFont="1" applyFill="1" applyAlignment="1">
      <alignment horizontal="center"/>
    </xf>
    <xf numFmtId="1" fontId="9" fillId="2" borderId="0" xfId="0" applyNumberFormat="1" applyFont="1" applyFill="1"/>
    <xf numFmtId="1" fontId="6" fillId="2" borderId="0" xfId="0" applyNumberFormat="1" applyFont="1" applyFill="1" applyAlignment="1"/>
    <xf numFmtId="0" fontId="10" fillId="2" borderId="0" xfId="0" applyFont="1" applyFill="1" applyAlignment="1">
      <alignment horizontal="center"/>
    </xf>
  </cellXfs>
  <cellStyles count="2">
    <cellStyle name="Currency" xfId="1" builtinId="4"/>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fill>
        <patternFill>
          <bgColor theme="5" tint="0.39997558519241921"/>
        </patternFill>
      </fill>
    </dxf>
    <dxf>
      <fill>
        <patternFill patternType="solid">
          <bgColor theme="9" tint="0.39997558519241921"/>
        </patternFill>
      </fill>
    </dxf>
    <dxf>
      <fill>
        <patternFill patternType="solid">
          <bgColor rgb="FF92D050"/>
        </patternFill>
      </fill>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1" formatCode="0"/>
    </dxf>
    <dxf>
      <numFmt numFmtId="1" formatCode="0"/>
    </dxf>
    <dxf>
      <numFmt numFmtId="1" formatCode="0"/>
    </dxf>
    <dxf>
      <font>
        <color theme="0"/>
      </font>
    </dxf>
    <dxf>
      <font>
        <color rgb="FFB7560D"/>
      </font>
      <fill>
        <patternFill>
          <bgColor theme="4" tint="0.39994506668294322"/>
        </patternFill>
      </fill>
    </dxf>
  </dxfs>
  <tableStyles count="1" defaultTableStyle="TableStyleMedium2" defaultPivotStyle="PivotStyleLight16">
    <tableStyle name="Slicer Style 1" pivot="0" table="0" count="4" xr9:uid="{E04BFC10-5901-46DD-AEC4-6BAFEF6F3155}">
      <tableStyleElement type="wholeTable" dxfId="22"/>
      <tableStyleElement type="headerRow" dxfId="21"/>
    </tableStyle>
  </tableStyles>
  <colors>
    <mruColors>
      <color rgb="FFB7560D"/>
    </mruColors>
  </colors>
  <extLst>
    <ext xmlns:x14="http://schemas.microsoft.com/office/spreadsheetml/2009/9/main" uri="{46F421CA-312F-682f-3DD2-61675219B42D}">
      <x14:dxfs count="2">
        <dxf>
          <font>
            <color rgb="FFB7560D"/>
          </font>
          <fill>
            <patternFill>
              <bgColor theme="5"/>
            </patternFill>
          </fill>
        </dxf>
        <dxf>
          <font>
            <color theme="0"/>
          </font>
          <fill>
            <patternFill>
              <bgColor theme="5"/>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microsoft.com/office/2007/relationships/slicerCache" Target="slicerCaches/slicerCache2.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0.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2755905511811"/>
          <c:y val="6.0185185185185182E-2"/>
          <c:w val="0.85416885389326336"/>
          <c:h val="0.89814814814814814"/>
        </c:manualLayout>
      </c:layout>
      <c:barChart>
        <c:barDir val="bar"/>
        <c:grouping val="clustered"/>
        <c:varyColors val="0"/>
        <c:dLbls>
          <c:dLblPos val="inEnd"/>
          <c:showLegendKey val="0"/>
          <c:showVal val="1"/>
          <c:showCatName val="0"/>
          <c:showSerName val="0"/>
          <c:showPercent val="0"/>
          <c:showBubbleSize val="0"/>
        </c:dLbls>
        <c:gapWidth val="182"/>
        <c:axId val="1435004432"/>
        <c:axId val="1435004912"/>
      </c:barChart>
      <c:catAx>
        <c:axId val="14350044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35004912"/>
        <c:crosses val="autoZero"/>
        <c:auto val="1"/>
        <c:lblAlgn val="ctr"/>
        <c:lblOffset val="100"/>
        <c:noMultiLvlLbl val="0"/>
      </c:catAx>
      <c:valAx>
        <c:axId val="1435004912"/>
        <c:scaling>
          <c:orientation val="minMax"/>
        </c:scaling>
        <c:delete val="1"/>
        <c:axPos val="b"/>
        <c:numFmt formatCode="General" sourceLinked="1"/>
        <c:majorTickMark val="none"/>
        <c:minorTickMark val="none"/>
        <c:tickLblPos val="nextTo"/>
        <c:crossAx val="1435004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Analyser'!$M$4:$M$5</c:f>
              <c:strCache>
                <c:ptCount val="2"/>
                <c:pt idx="0">
                  <c:v>Female</c:v>
                </c:pt>
                <c:pt idx="1">
                  <c:v>Male</c:v>
                </c:pt>
              </c:strCache>
            </c:strRef>
          </c:cat>
          <c:val>
            <c:numRef>
              <c:f>'pivot Analyser'!$N$4:$N$5</c:f>
              <c:numCache>
                <c:formatCode>General</c:formatCode>
                <c:ptCount val="2"/>
                <c:pt idx="0">
                  <c:v>325</c:v>
                </c:pt>
                <c:pt idx="1">
                  <c:v>455</c:v>
                </c:pt>
              </c:numCache>
            </c:numRef>
          </c:val>
          <c:extLst>
            <c:ext xmlns:c16="http://schemas.microsoft.com/office/drawing/2014/chart" uri="{C3380CC4-5D6E-409C-BE32-E72D297353CC}">
              <c16:uniqueId val="{00000000-810E-4CE3-8D7D-5E8A9013C08E}"/>
            </c:ext>
          </c:extLst>
        </c:ser>
        <c:dLbls>
          <c:dLblPos val="inEnd"/>
          <c:showLegendKey val="0"/>
          <c:showVal val="1"/>
          <c:showCatName val="0"/>
          <c:showSerName val="0"/>
          <c:showPercent val="0"/>
          <c:showBubbleSize val="0"/>
        </c:dLbls>
        <c:gapWidth val="182"/>
        <c:axId val="1322671344"/>
        <c:axId val="1322671824"/>
      </c:barChart>
      <c:catAx>
        <c:axId val="13226713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22671824"/>
        <c:crosses val="autoZero"/>
        <c:auto val="1"/>
        <c:lblAlgn val="ctr"/>
        <c:lblOffset val="100"/>
        <c:noMultiLvlLbl val="0"/>
      </c:catAx>
      <c:valAx>
        <c:axId val="1322671824"/>
        <c:scaling>
          <c:orientation val="minMax"/>
        </c:scaling>
        <c:delete val="1"/>
        <c:axPos val="b"/>
        <c:numFmt formatCode="General" sourceLinked="1"/>
        <c:majorTickMark val="none"/>
        <c:minorTickMark val="none"/>
        <c:tickLblPos val="nextTo"/>
        <c:crossAx val="1322671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Analyser'!$L$10:$L$14</c:f>
              <c:strCache>
                <c:ptCount val="5"/>
                <c:pt idx="0">
                  <c:v>26-30years</c:v>
                </c:pt>
                <c:pt idx="1">
                  <c:v>31-35years</c:v>
                </c:pt>
                <c:pt idx="2">
                  <c:v>36-40years</c:v>
                </c:pt>
                <c:pt idx="3">
                  <c:v>41-45years</c:v>
                </c:pt>
                <c:pt idx="4">
                  <c:v>46-50years</c:v>
                </c:pt>
              </c:strCache>
            </c:strRef>
          </c:cat>
          <c:val>
            <c:numRef>
              <c:f>'pivot Analyser'!$M$10:$M$14</c:f>
              <c:numCache>
                <c:formatCode>General</c:formatCode>
                <c:ptCount val="5"/>
                <c:pt idx="0">
                  <c:v>228</c:v>
                </c:pt>
                <c:pt idx="1">
                  <c:v>292</c:v>
                </c:pt>
                <c:pt idx="2">
                  <c:v>180</c:v>
                </c:pt>
                <c:pt idx="3">
                  <c:v>78</c:v>
                </c:pt>
                <c:pt idx="4">
                  <c:v>2</c:v>
                </c:pt>
              </c:numCache>
            </c:numRef>
          </c:val>
          <c:extLst>
            <c:ext xmlns:c16="http://schemas.microsoft.com/office/drawing/2014/chart" uri="{C3380CC4-5D6E-409C-BE32-E72D297353CC}">
              <c16:uniqueId val="{00000000-1D76-408B-A422-7380B99BE8EF}"/>
            </c:ext>
          </c:extLst>
        </c:ser>
        <c:dLbls>
          <c:dLblPos val="inEnd"/>
          <c:showLegendKey val="0"/>
          <c:showVal val="1"/>
          <c:showCatName val="0"/>
          <c:showSerName val="0"/>
          <c:showPercent val="0"/>
          <c:showBubbleSize val="0"/>
        </c:dLbls>
        <c:gapWidth val="62"/>
        <c:axId val="1369293183"/>
        <c:axId val="1369286943"/>
      </c:barChart>
      <c:catAx>
        <c:axId val="1369293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69286943"/>
        <c:crosses val="autoZero"/>
        <c:auto val="1"/>
        <c:lblAlgn val="ctr"/>
        <c:lblOffset val="100"/>
        <c:noMultiLvlLbl val="0"/>
      </c:catAx>
      <c:valAx>
        <c:axId val="1369286943"/>
        <c:scaling>
          <c:orientation val="minMax"/>
        </c:scaling>
        <c:delete val="1"/>
        <c:axPos val="b"/>
        <c:numFmt formatCode="General" sourceLinked="1"/>
        <c:majorTickMark val="none"/>
        <c:minorTickMark val="none"/>
        <c:tickLblPos val="nextTo"/>
        <c:crossAx val="1369293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Analyser'!$K$19:$K$23</c:f>
              <c:strCache>
                <c:ptCount val="5"/>
                <c:pt idx="0">
                  <c:v>Dissatisfied</c:v>
                </c:pt>
                <c:pt idx="1">
                  <c:v>Neutral</c:v>
                </c:pt>
                <c:pt idx="2">
                  <c:v>Satisfied</c:v>
                </c:pt>
                <c:pt idx="3">
                  <c:v>Very Dissatisfied</c:v>
                </c:pt>
                <c:pt idx="4">
                  <c:v>Very Satisfied</c:v>
                </c:pt>
              </c:strCache>
            </c:strRef>
          </c:cat>
          <c:val>
            <c:numRef>
              <c:f>'pivot Analyser'!$L$19:$L$23</c:f>
              <c:numCache>
                <c:formatCode>General</c:formatCode>
                <c:ptCount val="5"/>
                <c:pt idx="0">
                  <c:v>300</c:v>
                </c:pt>
                <c:pt idx="1">
                  <c:v>274</c:v>
                </c:pt>
                <c:pt idx="2">
                  <c:v>104</c:v>
                </c:pt>
                <c:pt idx="3">
                  <c:v>79</c:v>
                </c:pt>
                <c:pt idx="4">
                  <c:v>23</c:v>
                </c:pt>
              </c:numCache>
            </c:numRef>
          </c:val>
          <c:extLst>
            <c:ext xmlns:c16="http://schemas.microsoft.com/office/drawing/2014/chart" uri="{C3380CC4-5D6E-409C-BE32-E72D297353CC}">
              <c16:uniqueId val="{00000000-887A-485D-898C-896FD51EF18A}"/>
            </c:ext>
          </c:extLst>
        </c:ser>
        <c:ser>
          <c:idx val="1"/>
          <c:order val="1"/>
          <c:spPr>
            <a:solidFill>
              <a:schemeClr val="tx1"/>
            </a:solidFill>
            <a:ln>
              <a:noFill/>
            </a:ln>
            <a:effectLst/>
          </c:spPr>
          <c:invertIfNegative val="0"/>
          <c:dLbls>
            <c:delete val="1"/>
          </c:dLbls>
          <c:cat>
            <c:strRef>
              <c:f>'pivot Analyser'!$K$19:$K$23</c:f>
              <c:strCache>
                <c:ptCount val="5"/>
                <c:pt idx="0">
                  <c:v>Dissatisfied</c:v>
                </c:pt>
                <c:pt idx="1">
                  <c:v>Neutral</c:v>
                </c:pt>
                <c:pt idx="2">
                  <c:v>Satisfied</c:v>
                </c:pt>
                <c:pt idx="3">
                  <c:v>Very Dissatisfied</c:v>
                </c:pt>
                <c:pt idx="4">
                  <c:v>Very Satisfied</c:v>
                </c:pt>
              </c:strCache>
            </c:strRef>
          </c:cat>
          <c:val>
            <c:numRef>
              <c:f>'pivot Analyser'!$M$19:$M$23</c:f>
              <c:numCache>
                <c:formatCode>General</c:formatCode>
                <c:ptCount val="5"/>
                <c:pt idx="0">
                  <c:v>150</c:v>
                </c:pt>
                <c:pt idx="1">
                  <c:v>176</c:v>
                </c:pt>
                <c:pt idx="2">
                  <c:v>346</c:v>
                </c:pt>
                <c:pt idx="3">
                  <c:v>371</c:v>
                </c:pt>
                <c:pt idx="4">
                  <c:v>427</c:v>
                </c:pt>
              </c:numCache>
            </c:numRef>
          </c:val>
          <c:extLst>
            <c:ext xmlns:c16="http://schemas.microsoft.com/office/drawing/2014/chart" uri="{C3380CC4-5D6E-409C-BE32-E72D297353CC}">
              <c16:uniqueId val="{00000001-887A-485D-898C-896FD51EF18A}"/>
            </c:ext>
          </c:extLst>
        </c:ser>
        <c:dLbls>
          <c:dLblPos val="ctr"/>
          <c:showLegendKey val="0"/>
          <c:showVal val="1"/>
          <c:showCatName val="0"/>
          <c:showSerName val="0"/>
          <c:showPercent val="0"/>
          <c:showBubbleSize val="0"/>
        </c:dLbls>
        <c:gapWidth val="50"/>
        <c:overlap val="100"/>
        <c:axId val="1370939599"/>
        <c:axId val="1370919919"/>
      </c:barChart>
      <c:catAx>
        <c:axId val="13709395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70919919"/>
        <c:crosses val="autoZero"/>
        <c:auto val="1"/>
        <c:lblAlgn val="ctr"/>
        <c:lblOffset val="100"/>
        <c:noMultiLvlLbl val="0"/>
      </c:catAx>
      <c:valAx>
        <c:axId val="1370919919"/>
        <c:scaling>
          <c:orientation val="minMax"/>
        </c:scaling>
        <c:delete val="1"/>
        <c:axPos val="b"/>
        <c:numFmt formatCode="General" sourceLinked="1"/>
        <c:majorTickMark val="none"/>
        <c:minorTickMark val="none"/>
        <c:tickLblPos val="nextTo"/>
        <c:crossAx val="13709395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Analyser'!$K$27</c:f>
              <c:strCache>
                <c:ptCount val="1"/>
                <c:pt idx="0">
                  <c:v>Exceeds Expectation</c:v>
                </c:pt>
              </c:strCache>
            </c:strRef>
          </c:tx>
          <c:spPr>
            <a:solidFill>
              <a:srgbClr val="B7560D"/>
            </a:solidFill>
            <a:ln>
              <a:noFill/>
            </a:ln>
          </c:spPr>
          <c:dPt>
            <c:idx val="0"/>
            <c:bubble3D val="0"/>
            <c:spPr>
              <a:solidFill>
                <a:srgbClr val="FFFF00"/>
              </a:solidFill>
              <a:ln w="19050">
                <a:noFill/>
              </a:ln>
              <a:effectLst/>
            </c:spPr>
            <c:extLst>
              <c:ext xmlns:c16="http://schemas.microsoft.com/office/drawing/2014/chart" uri="{C3380CC4-5D6E-409C-BE32-E72D297353CC}">
                <c16:uniqueId val="{00000001-AC21-4363-9D65-EB62A549602A}"/>
              </c:ext>
            </c:extLst>
          </c:dPt>
          <c:dPt>
            <c:idx val="1"/>
            <c:bubble3D val="0"/>
            <c:spPr>
              <a:solidFill>
                <a:srgbClr val="B7560D"/>
              </a:solidFill>
              <a:ln w="19050">
                <a:noFill/>
              </a:ln>
              <a:effectLst/>
            </c:spPr>
            <c:extLst>
              <c:ext xmlns:c16="http://schemas.microsoft.com/office/drawing/2014/chart" uri="{C3380CC4-5D6E-409C-BE32-E72D297353CC}">
                <c16:uniqueId val="{00000003-AC21-4363-9D65-EB62A549602A}"/>
              </c:ext>
            </c:extLst>
          </c:dPt>
          <c:val>
            <c:numRef>
              <c:f>'pivot Analyser'!$L$27:$M$27</c:f>
              <c:numCache>
                <c:formatCode>General</c:formatCode>
                <c:ptCount val="2"/>
                <c:pt idx="0">
                  <c:v>158</c:v>
                </c:pt>
                <c:pt idx="1">
                  <c:v>211</c:v>
                </c:pt>
              </c:numCache>
            </c:numRef>
          </c:val>
          <c:extLst>
            <c:ext xmlns:c16="http://schemas.microsoft.com/office/drawing/2014/chart" uri="{C3380CC4-5D6E-409C-BE32-E72D297353CC}">
              <c16:uniqueId val="{00000004-AC21-4363-9D65-EB62A549602A}"/>
            </c:ext>
          </c:extLst>
        </c:ser>
        <c:ser>
          <c:idx val="1"/>
          <c:order val="1"/>
          <c:tx>
            <c:strRef>
              <c:f>'pivot Analyser'!$K$28</c:f>
              <c:strCache>
                <c:ptCount val="1"/>
                <c:pt idx="0">
                  <c:v>Meets Expectation</c:v>
                </c:pt>
              </c:strCache>
            </c:strRef>
          </c:tx>
          <c:spPr>
            <a:solidFill>
              <a:srgbClr val="B7560D"/>
            </a:solidFill>
            <a:ln>
              <a:noFill/>
            </a:ln>
          </c:spPr>
          <c:dPt>
            <c:idx val="0"/>
            <c:bubble3D val="0"/>
            <c:spPr>
              <a:solidFill>
                <a:schemeClr val="accent4">
                  <a:lumMod val="40000"/>
                  <a:lumOff val="60000"/>
                </a:schemeClr>
              </a:solidFill>
              <a:ln w="19050">
                <a:noFill/>
              </a:ln>
              <a:effectLst/>
            </c:spPr>
            <c:extLst>
              <c:ext xmlns:c16="http://schemas.microsoft.com/office/drawing/2014/chart" uri="{C3380CC4-5D6E-409C-BE32-E72D297353CC}">
                <c16:uniqueId val="{00000006-AC21-4363-9D65-EB62A549602A}"/>
              </c:ext>
            </c:extLst>
          </c:dPt>
          <c:dPt>
            <c:idx val="1"/>
            <c:bubble3D val="0"/>
            <c:spPr>
              <a:solidFill>
                <a:srgbClr val="B7560D"/>
              </a:solidFill>
              <a:ln w="19050">
                <a:noFill/>
              </a:ln>
              <a:effectLst/>
            </c:spPr>
            <c:extLst>
              <c:ext xmlns:c16="http://schemas.microsoft.com/office/drawing/2014/chart" uri="{C3380CC4-5D6E-409C-BE32-E72D297353CC}">
                <c16:uniqueId val="{00000008-AC21-4363-9D65-EB62A549602A}"/>
              </c:ext>
            </c:extLst>
          </c:dPt>
          <c:val>
            <c:numRef>
              <c:f>'pivot Analyser'!$L$28:$M$28</c:f>
              <c:numCache>
                <c:formatCode>General</c:formatCode>
                <c:ptCount val="2"/>
                <c:pt idx="0">
                  <c:v>246</c:v>
                </c:pt>
                <c:pt idx="1">
                  <c:v>123</c:v>
                </c:pt>
              </c:numCache>
            </c:numRef>
          </c:val>
          <c:extLst>
            <c:ext xmlns:c16="http://schemas.microsoft.com/office/drawing/2014/chart" uri="{C3380CC4-5D6E-409C-BE32-E72D297353CC}">
              <c16:uniqueId val="{00000009-AC21-4363-9D65-EB62A549602A}"/>
            </c:ext>
          </c:extLst>
        </c:ser>
        <c:ser>
          <c:idx val="2"/>
          <c:order val="2"/>
          <c:tx>
            <c:strRef>
              <c:f>'pivot Analyser'!$K$29</c:f>
              <c:strCache>
                <c:ptCount val="1"/>
                <c:pt idx="0">
                  <c:v>Need Improvement</c:v>
                </c:pt>
              </c:strCache>
            </c:strRef>
          </c:tx>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B-AC21-4363-9D65-EB62A549602A}"/>
              </c:ext>
            </c:extLst>
          </c:dPt>
          <c:dPt>
            <c:idx val="1"/>
            <c:bubble3D val="0"/>
            <c:spPr>
              <a:solidFill>
                <a:srgbClr val="B7560D"/>
              </a:solidFill>
              <a:ln w="19050">
                <a:noFill/>
              </a:ln>
              <a:effectLst/>
            </c:spPr>
            <c:extLst>
              <c:ext xmlns:c16="http://schemas.microsoft.com/office/drawing/2014/chart" uri="{C3380CC4-5D6E-409C-BE32-E72D297353CC}">
                <c16:uniqueId val="{0000000D-AC21-4363-9D65-EB62A549602A}"/>
              </c:ext>
            </c:extLst>
          </c:dPt>
          <c:val>
            <c:numRef>
              <c:f>'pivot Analyser'!$L$29:$M$29</c:f>
              <c:numCache>
                <c:formatCode>General</c:formatCode>
                <c:ptCount val="2"/>
                <c:pt idx="0">
                  <c:v>176</c:v>
                </c:pt>
                <c:pt idx="1">
                  <c:v>193</c:v>
                </c:pt>
              </c:numCache>
            </c:numRef>
          </c:val>
          <c:extLst>
            <c:ext xmlns:c16="http://schemas.microsoft.com/office/drawing/2014/chart" uri="{C3380CC4-5D6E-409C-BE32-E72D297353CC}">
              <c16:uniqueId val="{0000000E-AC21-4363-9D65-EB62A549602A}"/>
            </c:ext>
          </c:extLst>
        </c:ser>
        <c:ser>
          <c:idx val="3"/>
          <c:order val="3"/>
          <c:tx>
            <c:strRef>
              <c:f>'pivot Analyser'!$K$30</c:f>
              <c:strCache>
                <c:ptCount val="1"/>
                <c:pt idx="0">
                  <c:v>Outsanding</c:v>
                </c:pt>
              </c:strCache>
            </c:strRef>
          </c:tx>
          <c:spPr>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10-AC21-4363-9D65-EB62A549602A}"/>
              </c:ext>
            </c:extLst>
          </c:dPt>
          <c:dPt>
            <c:idx val="1"/>
            <c:bubble3D val="0"/>
            <c:spPr>
              <a:solidFill>
                <a:srgbClr val="B7560D"/>
              </a:solidFill>
              <a:ln w="19050">
                <a:noFill/>
              </a:ln>
              <a:effectLst/>
            </c:spPr>
            <c:extLst>
              <c:ext xmlns:c16="http://schemas.microsoft.com/office/drawing/2014/chart" uri="{C3380CC4-5D6E-409C-BE32-E72D297353CC}">
                <c16:uniqueId val="{00000012-AC21-4363-9D65-EB62A549602A}"/>
              </c:ext>
            </c:extLst>
          </c:dPt>
          <c:val>
            <c:numRef>
              <c:f>'pivot Analyser'!$L$30:$M$30</c:f>
              <c:numCache>
                <c:formatCode>General</c:formatCode>
                <c:ptCount val="2"/>
                <c:pt idx="0">
                  <c:v>65</c:v>
                </c:pt>
                <c:pt idx="1">
                  <c:v>304</c:v>
                </c:pt>
              </c:numCache>
            </c:numRef>
          </c:val>
          <c:extLst>
            <c:ext xmlns:c16="http://schemas.microsoft.com/office/drawing/2014/chart" uri="{C3380CC4-5D6E-409C-BE32-E72D297353CC}">
              <c16:uniqueId val="{00000013-AC21-4363-9D65-EB62A549602A}"/>
            </c:ext>
          </c:extLst>
        </c:ser>
        <c:ser>
          <c:idx val="4"/>
          <c:order val="4"/>
          <c:tx>
            <c:strRef>
              <c:f>'pivot Analyser'!$K$31</c:f>
              <c:strCache>
                <c:ptCount val="1"/>
                <c:pt idx="0">
                  <c:v>Unsatisfactory</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15-AC21-4363-9D65-EB62A549602A}"/>
              </c:ext>
            </c:extLst>
          </c:dPt>
          <c:dPt>
            <c:idx val="1"/>
            <c:bubble3D val="0"/>
            <c:spPr>
              <a:solidFill>
                <a:srgbClr val="B7560D"/>
              </a:solidFill>
              <a:ln w="19050">
                <a:noFill/>
              </a:ln>
              <a:effectLst/>
            </c:spPr>
            <c:extLst>
              <c:ext xmlns:c16="http://schemas.microsoft.com/office/drawing/2014/chart" uri="{C3380CC4-5D6E-409C-BE32-E72D297353CC}">
                <c16:uniqueId val="{00000017-AC21-4363-9D65-EB62A549602A}"/>
              </c:ext>
            </c:extLst>
          </c:dPt>
          <c:val>
            <c:numRef>
              <c:f>'pivot Analyser'!$L$31:$M$31</c:f>
              <c:numCache>
                <c:formatCode>General</c:formatCode>
                <c:ptCount val="2"/>
                <c:pt idx="0">
                  <c:v>135</c:v>
                </c:pt>
                <c:pt idx="1">
                  <c:v>234</c:v>
                </c:pt>
              </c:numCache>
            </c:numRef>
          </c:val>
          <c:extLst>
            <c:ext xmlns:c16="http://schemas.microsoft.com/office/drawing/2014/chart" uri="{C3380CC4-5D6E-409C-BE32-E72D297353CC}">
              <c16:uniqueId val="{00000018-AC21-4363-9D65-EB62A549602A}"/>
            </c:ext>
          </c:extLst>
        </c:ser>
        <c:dLbls>
          <c:showLegendKey val="0"/>
          <c:showVal val="0"/>
          <c:showCatName val="0"/>
          <c:showSerName val="0"/>
          <c:showPercent val="0"/>
          <c:showBubbleSize val="0"/>
          <c:showLeaderLines val="1"/>
        </c:dLbls>
        <c:firstSliceAng val="0"/>
        <c:holeSize val="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Analyser'!$O$4:$O$9</c:f>
              <c:strCache>
                <c:ptCount val="6"/>
                <c:pt idx="0">
                  <c:v>Engineering</c:v>
                </c:pt>
                <c:pt idx="1">
                  <c:v>Finance</c:v>
                </c:pt>
                <c:pt idx="2">
                  <c:v>HR</c:v>
                </c:pt>
                <c:pt idx="3">
                  <c:v>IT</c:v>
                </c:pt>
                <c:pt idx="4">
                  <c:v>Marketing</c:v>
                </c:pt>
                <c:pt idx="5">
                  <c:v>Sales</c:v>
                </c:pt>
              </c:strCache>
            </c:strRef>
          </c:cat>
          <c:val>
            <c:numRef>
              <c:f>'pivot Analyser'!$P$4:$P$9</c:f>
              <c:numCache>
                <c:formatCode>General</c:formatCode>
                <c:ptCount val="6"/>
                <c:pt idx="0">
                  <c:v>105</c:v>
                </c:pt>
                <c:pt idx="1">
                  <c:v>119</c:v>
                </c:pt>
                <c:pt idx="2">
                  <c:v>132</c:v>
                </c:pt>
                <c:pt idx="3">
                  <c:v>142</c:v>
                </c:pt>
                <c:pt idx="4">
                  <c:v>125</c:v>
                </c:pt>
                <c:pt idx="5">
                  <c:v>157</c:v>
                </c:pt>
              </c:numCache>
            </c:numRef>
          </c:val>
          <c:extLst>
            <c:ext xmlns:c16="http://schemas.microsoft.com/office/drawing/2014/chart" uri="{C3380CC4-5D6E-409C-BE32-E72D297353CC}">
              <c16:uniqueId val="{00000000-6A75-461F-8706-8F577AF96E94}"/>
            </c:ext>
          </c:extLst>
        </c:ser>
        <c:dLbls>
          <c:dLblPos val="inEnd"/>
          <c:showLegendKey val="0"/>
          <c:showVal val="1"/>
          <c:showCatName val="0"/>
          <c:showSerName val="0"/>
          <c:showPercent val="0"/>
          <c:showBubbleSize val="0"/>
        </c:dLbls>
        <c:gapWidth val="69"/>
        <c:overlap val="-27"/>
        <c:axId val="45721152"/>
        <c:axId val="45704352"/>
      </c:barChart>
      <c:catAx>
        <c:axId val="45721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5704352"/>
        <c:crosses val="autoZero"/>
        <c:auto val="1"/>
        <c:lblAlgn val="ctr"/>
        <c:lblOffset val="100"/>
        <c:noMultiLvlLbl val="0"/>
      </c:catAx>
      <c:valAx>
        <c:axId val="45704352"/>
        <c:scaling>
          <c:orientation val="minMax"/>
        </c:scaling>
        <c:delete val="1"/>
        <c:axPos val="l"/>
        <c:numFmt formatCode="General" sourceLinked="1"/>
        <c:majorTickMark val="none"/>
        <c:minorTickMark val="none"/>
        <c:tickLblPos val="nextTo"/>
        <c:crossAx val="457211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Analyser'!$O$24:$O$27</c:f>
              <c:strCache>
                <c:ptCount val="4"/>
                <c:pt idx="0">
                  <c:v>Developing</c:v>
                </c:pt>
                <c:pt idx="1">
                  <c:v>Early</c:v>
                </c:pt>
                <c:pt idx="2">
                  <c:v>Experienced</c:v>
                </c:pt>
                <c:pt idx="3">
                  <c:v>Veteran</c:v>
                </c:pt>
              </c:strCache>
            </c:strRef>
          </c:cat>
          <c:val>
            <c:numRef>
              <c:f>'pivot Analyser'!$P$24:$P$27</c:f>
              <c:numCache>
                <c:formatCode>General</c:formatCode>
                <c:ptCount val="4"/>
                <c:pt idx="0">
                  <c:v>433</c:v>
                </c:pt>
                <c:pt idx="1">
                  <c:v>204</c:v>
                </c:pt>
                <c:pt idx="2">
                  <c:v>126</c:v>
                </c:pt>
                <c:pt idx="3">
                  <c:v>17</c:v>
                </c:pt>
              </c:numCache>
            </c:numRef>
          </c:val>
          <c:extLst>
            <c:ext xmlns:c16="http://schemas.microsoft.com/office/drawing/2014/chart" uri="{C3380CC4-5D6E-409C-BE32-E72D297353CC}">
              <c16:uniqueId val="{00000000-D467-415E-8F75-2EECA29956B5}"/>
            </c:ext>
          </c:extLst>
        </c:ser>
        <c:dLbls>
          <c:dLblPos val="outEnd"/>
          <c:showLegendKey val="0"/>
          <c:showVal val="1"/>
          <c:showCatName val="0"/>
          <c:showSerName val="0"/>
          <c:showPercent val="0"/>
          <c:showBubbleSize val="0"/>
        </c:dLbls>
        <c:gapWidth val="62"/>
        <c:axId val="1431122735"/>
        <c:axId val="1431143855"/>
      </c:barChart>
      <c:catAx>
        <c:axId val="14311227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431143855"/>
        <c:crosses val="autoZero"/>
        <c:auto val="1"/>
        <c:lblAlgn val="ctr"/>
        <c:lblOffset val="100"/>
        <c:noMultiLvlLbl val="0"/>
      </c:catAx>
      <c:valAx>
        <c:axId val="1431143855"/>
        <c:scaling>
          <c:orientation val="minMax"/>
        </c:scaling>
        <c:delete val="1"/>
        <c:axPos val="b"/>
        <c:numFmt formatCode="General" sourceLinked="1"/>
        <c:majorTickMark val="none"/>
        <c:minorTickMark val="none"/>
        <c:tickLblPos val="nextTo"/>
        <c:crossAx val="14311227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Analyser'!$O$13:$O$18</c:f>
              <c:strCache>
                <c:ptCount val="6"/>
                <c:pt idx="0">
                  <c:v> Accountant</c:v>
                </c:pt>
                <c:pt idx="1">
                  <c:v> Analyst</c:v>
                </c:pt>
                <c:pt idx="2">
                  <c:v> Engineer</c:v>
                </c:pt>
                <c:pt idx="3">
                  <c:v> Manager</c:v>
                </c:pt>
                <c:pt idx="4">
                  <c:v> Sales Rep</c:v>
                </c:pt>
                <c:pt idx="5">
                  <c:v> Specialist</c:v>
                </c:pt>
              </c:strCache>
            </c:strRef>
          </c:cat>
          <c:val>
            <c:numRef>
              <c:f>'pivot Analyser'!$P$13:$P$18</c:f>
              <c:numCache>
                <c:formatCode>General</c:formatCode>
                <c:ptCount val="6"/>
                <c:pt idx="0">
                  <c:v>41</c:v>
                </c:pt>
                <c:pt idx="1">
                  <c:v>124</c:v>
                </c:pt>
                <c:pt idx="2">
                  <c:v>180</c:v>
                </c:pt>
                <c:pt idx="3">
                  <c:v>103</c:v>
                </c:pt>
                <c:pt idx="4">
                  <c:v>124</c:v>
                </c:pt>
                <c:pt idx="5">
                  <c:v>208</c:v>
                </c:pt>
              </c:numCache>
            </c:numRef>
          </c:val>
          <c:extLst>
            <c:ext xmlns:c16="http://schemas.microsoft.com/office/drawing/2014/chart" uri="{C3380CC4-5D6E-409C-BE32-E72D297353CC}">
              <c16:uniqueId val="{00000000-0512-4C77-9286-AD23E9D83973}"/>
            </c:ext>
          </c:extLst>
        </c:ser>
        <c:dLbls>
          <c:dLblPos val="inEnd"/>
          <c:showLegendKey val="0"/>
          <c:showVal val="1"/>
          <c:showCatName val="0"/>
          <c:showSerName val="0"/>
          <c:showPercent val="0"/>
          <c:showBubbleSize val="0"/>
        </c:dLbls>
        <c:gapWidth val="72"/>
        <c:axId val="1285638720"/>
        <c:axId val="1285639200"/>
      </c:barChart>
      <c:catAx>
        <c:axId val="12856387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85639200"/>
        <c:crosses val="autoZero"/>
        <c:auto val="1"/>
        <c:lblAlgn val="ctr"/>
        <c:lblOffset val="100"/>
        <c:noMultiLvlLbl val="0"/>
      </c:catAx>
      <c:valAx>
        <c:axId val="1285639200"/>
        <c:scaling>
          <c:orientation val="minMax"/>
        </c:scaling>
        <c:delete val="1"/>
        <c:axPos val="b"/>
        <c:numFmt formatCode="General" sourceLinked="1"/>
        <c:majorTickMark val="none"/>
        <c:minorTickMark val="none"/>
        <c:tickLblPos val="nextTo"/>
        <c:crossAx val="1285638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Analyser'!$R$4</c:f>
              <c:strCache>
                <c:ptCount val="1"/>
                <c:pt idx="0">
                  <c:v>High</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3B64-4D8D-814F-B4CB654C83B5}"/>
              </c:ext>
            </c:extLst>
          </c:dPt>
          <c:dPt>
            <c:idx val="1"/>
            <c:bubble3D val="0"/>
            <c:spPr>
              <a:noFill/>
              <a:ln w="19050">
                <a:noFill/>
              </a:ln>
              <a:effectLst/>
            </c:spPr>
            <c:extLst>
              <c:ext xmlns:c16="http://schemas.microsoft.com/office/drawing/2014/chart" uri="{C3380CC4-5D6E-409C-BE32-E72D297353CC}">
                <c16:uniqueId val="{00000003-3B64-4D8D-814F-B4CB654C83B5}"/>
              </c:ext>
            </c:extLst>
          </c:dPt>
          <c:val>
            <c:numRef>
              <c:f>'pivot Analyser'!$S$4:$T$4</c:f>
              <c:numCache>
                <c:formatCode>General</c:formatCode>
                <c:ptCount val="2"/>
                <c:pt idx="0">
                  <c:v>320</c:v>
                </c:pt>
                <c:pt idx="1">
                  <c:v>160</c:v>
                </c:pt>
              </c:numCache>
            </c:numRef>
          </c:val>
          <c:extLst>
            <c:ext xmlns:c16="http://schemas.microsoft.com/office/drawing/2014/chart" uri="{C3380CC4-5D6E-409C-BE32-E72D297353CC}">
              <c16:uniqueId val="{00000004-3B64-4D8D-814F-B4CB654C83B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Analyser'!$R$5</c:f>
              <c:strCache>
                <c:ptCount val="1"/>
                <c:pt idx="0">
                  <c:v>Low</c:v>
                </c:pt>
              </c:strCache>
            </c:strRef>
          </c:tx>
          <c:spPr>
            <a:ln>
              <a:noFill/>
            </a:ln>
          </c:spPr>
          <c:dPt>
            <c:idx val="0"/>
            <c:bubble3D val="0"/>
            <c:spPr>
              <a:solidFill>
                <a:srgbClr val="FFFF00"/>
              </a:solidFill>
              <a:ln w="19050">
                <a:noFill/>
              </a:ln>
              <a:effectLst/>
            </c:spPr>
            <c:extLst>
              <c:ext xmlns:c16="http://schemas.microsoft.com/office/drawing/2014/chart" uri="{C3380CC4-5D6E-409C-BE32-E72D297353CC}">
                <c16:uniqueId val="{00000001-BF34-46DE-B93C-B0575C9252F1}"/>
              </c:ext>
            </c:extLst>
          </c:dPt>
          <c:dPt>
            <c:idx val="1"/>
            <c:bubble3D val="0"/>
            <c:spPr>
              <a:noFill/>
              <a:ln w="19050">
                <a:noFill/>
              </a:ln>
              <a:effectLst/>
            </c:spPr>
            <c:extLst>
              <c:ext xmlns:c16="http://schemas.microsoft.com/office/drawing/2014/chart" uri="{C3380CC4-5D6E-409C-BE32-E72D297353CC}">
                <c16:uniqueId val="{00000003-BF34-46DE-B93C-B0575C9252F1}"/>
              </c:ext>
            </c:extLst>
          </c:dPt>
          <c:val>
            <c:numRef>
              <c:f>'pivot Analyser'!$S$5:$T$5</c:f>
              <c:numCache>
                <c:formatCode>General</c:formatCode>
                <c:ptCount val="2"/>
                <c:pt idx="0">
                  <c:v>293</c:v>
                </c:pt>
                <c:pt idx="1">
                  <c:v>187</c:v>
                </c:pt>
              </c:numCache>
            </c:numRef>
          </c:val>
          <c:extLst>
            <c:ext xmlns:c16="http://schemas.microsoft.com/office/drawing/2014/chart" uri="{C3380CC4-5D6E-409C-BE32-E72D297353CC}">
              <c16:uniqueId val="{00000004-BF34-46DE-B93C-B0575C9252F1}"/>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Analyser'!$R$6</c:f>
              <c:strCache>
                <c:ptCount val="1"/>
                <c:pt idx="0">
                  <c:v>Very High</c:v>
                </c:pt>
              </c:strCache>
            </c:strRef>
          </c:tx>
          <c:spPr>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450E-43C4-98F3-B9619E51C57E}"/>
              </c:ext>
            </c:extLst>
          </c:dPt>
          <c:dPt>
            <c:idx val="1"/>
            <c:bubble3D val="0"/>
            <c:spPr>
              <a:noFill/>
              <a:ln w="19050">
                <a:noFill/>
              </a:ln>
              <a:effectLst/>
            </c:spPr>
            <c:extLst>
              <c:ext xmlns:c16="http://schemas.microsoft.com/office/drawing/2014/chart" uri="{C3380CC4-5D6E-409C-BE32-E72D297353CC}">
                <c16:uniqueId val="{00000003-450E-43C4-98F3-B9619E51C57E}"/>
              </c:ext>
            </c:extLst>
          </c:dPt>
          <c:val>
            <c:numRef>
              <c:f>'pivot Analyser'!$S$6:$T$6</c:f>
              <c:numCache>
                <c:formatCode>General</c:formatCode>
                <c:ptCount val="2"/>
                <c:pt idx="0">
                  <c:v>119</c:v>
                </c:pt>
                <c:pt idx="1">
                  <c:v>361</c:v>
                </c:pt>
              </c:numCache>
            </c:numRef>
          </c:val>
          <c:extLst>
            <c:ext xmlns:c16="http://schemas.microsoft.com/office/drawing/2014/chart" uri="{C3380CC4-5D6E-409C-BE32-E72D297353CC}">
              <c16:uniqueId val="{00000004-450E-43C4-98F3-B9619E51C57E}"/>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Analyser'!$R$7</c:f>
              <c:strCache>
                <c:ptCount val="1"/>
                <c:pt idx="0">
                  <c:v>Very Low</c:v>
                </c:pt>
              </c:strCache>
            </c:strRef>
          </c:tx>
          <c:spPr>
            <a:ln>
              <a:noFill/>
            </a:ln>
          </c:spPr>
          <c:dPt>
            <c:idx val="0"/>
            <c:bubble3D val="0"/>
            <c:spPr>
              <a:solidFill>
                <a:schemeClr val="accent4">
                  <a:lumMod val="40000"/>
                  <a:lumOff val="60000"/>
                </a:schemeClr>
              </a:solidFill>
              <a:ln w="19050">
                <a:noFill/>
              </a:ln>
              <a:effectLst/>
            </c:spPr>
            <c:extLst>
              <c:ext xmlns:c16="http://schemas.microsoft.com/office/drawing/2014/chart" uri="{C3380CC4-5D6E-409C-BE32-E72D297353CC}">
                <c16:uniqueId val="{00000001-A203-48BE-8EEF-FDD71705C600}"/>
              </c:ext>
            </c:extLst>
          </c:dPt>
          <c:dPt>
            <c:idx val="1"/>
            <c:bubble3D val="0"/>
            <c:spPr>
              <a:noFill/>
              <a:ln w="19050">
                <a:noFill/>
              </a:ln>
              <a:effectLst/>
            </c:spPr>
            <c:extLst>
              <c:ext xmlns:c16="http://schemas.microsoft.com/office/drawing/2014/chart" uri="{C3380CC4-5D6E-409C-BE32-E72D297353CC}">
                <c16:uniqueId val="{00000003-A203-48BE-8EEF-FDD71705C600}"/>
              </c:ext>
            </c:extLst>
          </c:dPt>
          <c:val>
            <c:numRef>
              <c:f>'pivot Analyser'!$S$7:$T$7</c:f>
              <c:numCache>
                <c:formatCode>General</c:formatCode>
                <c:ptCount val="2"/>
                <c:pt idx="0">
                  <c:v>48</c:v>
                </c:pt>
                <c:pt idx="1">
                  <c:v>432</c:v>
                </c:pt>
              </c:numCache>
            </c:numRef>
          </c:val>
          <c:extLst>
            <c:ext xmlns:c16="http://schemas.microsoft.com/office/drawing/2014/chart" uri="{C3380CC4-5D6E-409C-BE32-E72D297353CC}">
              <c16:uniqueId val="{00000004-A203-48BE-8EEF-FDD71705C600}"/>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323850</xdr:colOff>
      <xdr:row>8</xdr:row>
      <xdr:rowOff>66676</xdr:rowOff>
    </xdr:from>
    <xdr:to>
      <xdr:col>18</xdr:col>
      <xdr:colOff>361950</xdr:colOff>
      <xdr:row>13</xdr:row>
      <xdr:rowOff>152400</xdr:rowOff>
    </xdr:to>
    <xdr:graphicFrame macro="">
      <xdr:nvGraphicFramePr>
        <xdr:cNvPr id="3" name="Chart 2">
          <a:extLst>
            <a:ext uri="{FF2B5EF4-FFF2-40B4-BE49-F238E27FC236}">
              <a16:creationId xmlns:a16="http://schemas.microsoft.com/office/drawing/2014/main" id="{31993693-8B41-0DB1-67CE-EAC7AA62C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552451</xdr:colOff>
      <xdr:row>8</xdr:row>
      <xdr:rowOff>85726</xdr:rowOff>
    </xdr:from>
    <xdr:to>
      <xdr:col>29</xdr:col>
      <xdr:colOff>104775</xdr:colOff>
      <xdr:row>23</xdr:row>
      <xdr:rowOff>104776</xdr:rowOff>
    </xdr:to>
    <xdr:sp macro="" textlink="">
      <xdr:nvSpPr>
        <xdr:cNvPr id="66" name="Rectangle: Rounded Corners 65">
          <a:extLst>
            <a:ext uri="{FF2B5EF4-FFF2-40B4-BE49-F238E27FC236}">
              <a16:creationId xmlns:a16="http://schemas.microsoft.com/office/drawing/2014/main" id="{90EC1AF0-2807-02B2-BD17-9A99CE2F0BB6}"/>
            </a:ext>
          </a:extLst>
        </xdr:cNvPr>
        <xdr:cNvSpPr/>
      </xdr:nvSpPr>
      <xdr:spPr>
        <a:xfrm>
          <a:off x="9696451" y="1609726"/>
          <a:ext cx="8086724" cy="28765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123825</xdr:colOff>
      <xdr:row>8</xdr:row>
      <xdr:rowOff>95250</xdr:rowOff>
    </xdr:from>
    <xdr:to>
      <xdr:col>16</xdr:col>
      <xdr:colOff>38100</xdr:colOff>
      <xdr:row>23</xdr:row>
      <xdr:rowOff>38100</xdr:rowOff>
    </xdr:to>
    <xdr:sp macro="" textlink="">
      <xdr:nvSpPr>
        <xdr:cNvPr id="55" name="Rectangle: Rounded Corners 54">
          <a:extLst>
            <a:ext uri="{FF2B5EF4-FFF2-40B4-BE49-F238E27FC236}">
              <a16:creationId xmlns:a16="http://schemas.microsoft.com/office/drawing/2014/main" id="{2CF98AEC-37F7-760F-749B-C9932E4082B1}"/>
            </a:ext>
          </a:extLst>
        </xdr:cNvPr>
        <xdr:cNvSpPr/>
      </xdr:nvSpPr>
      <xdr:spPr>
        <a:xfrm>
          <a:off x="6219825" y="1619250"/>
          <a:ext cx="357187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19049</xdr:rowOff>
    </xdr:from>
    <xdr:to>
      <xdr:col>29</xdr:col>
      <xdr:colOff>457200</xdr:colOff>
      <xdr:row>3</xdr:row>
      <xdr:rowOff>123824</xdr:rowOff>
    </xdr:to>
    <xdr:sp macro="" textlink="">
      <xdr:nvSpPr>
        <xdr:cNvPr id="2" name="Rectangle: Rounded Corners 1">
          <a:extLst>
            <a:ext uri="{FF2B5EF4-FFF2-40B4-BE49-F238E27FC236}">
              <a16:creationId xmlns:a16="http://schemas.microsoft.com/office/drawing/2014/main" id="{A2908D6B-5DE2-DFC3-C138-9D2A09712913}"/>
            </a:ext>
          </a:extLst>
        </xdr:cNvPr>
        <xdr:cNvSpPr/>
      </xdr:nvSpPr>
      <xdr:spPr>
        <a:xfrm>
          <a:off x="0" y="19049"/>
          <a:ext cx="18135600" cy="676275"/>
        </a:xfrm>
        <a:prstGeom prst="roundRect">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238125</xdr:colOff>
      <xdr:row>23</xdr:row>
      <xdr:rowOff>57150</xdr:rowOff>
    </xdr:from>
    <xdr:to>
      <xdr:col>8</xdr:col>
      <xdr:colOff>552450</xdr:colOff>
      <xdr:row>38</xdr:row>
      <xdr:rowOff>0</xdr:rowOff>
    </xdr:to>
    <xdr:sp macro="" textlink="">
      <xdr:nvSpPr>
        <xdr:cNvPr id="3" name="Rectangle: Rounded Corners 2">
          <a:extLst>
            <a:ext uri="{FF2B5EF4-FFF2-40B4-BE49-F238E27FC236}">
              <a16:creationId xmlns:a16="http://schemas.microsoft.com/office/drawing/2014/main" id="{44C7FE15-7A3B-4933-B44E-6654660944D7}"/>
            </a:ext>
          </a:extLst>
        </xdr:cNvPr>
        <xdr:cNvSpPr/>
      </xdr:nvSpPr>
      <xdr:spPr>
        <a:xfrm>
          <a:off x="2676525" y="4438650"/>
          <a:ext cx="275272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390524</xdr:colOff>
      <xdr:row>0</xdr:row>
      <xdr:rowOff>171451</xdr:rowOff>
    </xdr:from>
    <xdr:to>
      <xdr:col>25</xdr:col>
      <xdr:colOff>390525</xdr:colOff>
      <xdr:row>3</xdr:row>
      <xdr:rowOff>1</xdr:rowOff>
    </xdr:to>
    <xdr:sp macro="" textlink="">
      <xdr:nvSpPr>
        <xdr:cNvPr id="4" name="TextBox 3">
          <a:extLst>
            <a:ext uri="{FF2B5EF4-FFF2-40B4-BE49-F238E27FC236}">
              <a16:creationId xmlns:a16="http://schemas.microsoft.com/office/drawing/2014/main" id="{4F152742-72E9-6D1E-3887-7546EDFDE31D}"/>
            </a:ext>
          </a:extLst>
        </xdr:cNvPr>
        <xdr:cNvSpPr txBox="1"/>
      </xdr:nvSpPr>
      <xdr:spPr>
        <a:xfrm>
          <a:off x="6553199" y="171451"/>
          <a:ext cx="896302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HIDDEN HILL ATTRITION DASHBOARD PRESENTED BY EGBEOBAUWAYENAGBONS</a:t>
          </a:r>
          <a:r>
            <a:rPr lang="en-US" sz="2000" b="1" baseline="0">
              <a:solidFill>
                <a:schemeClr val="bg1"/>
              </a:solidFill>
            </a:rPr>
            <a:t> NAGBONS</a:t>
          </a:r>
          <a:r>
            <a:rPr lang="en-US" sz="2000" b="1">
              <a:solidFill>
                <a:schemeClr val="bg1"/>
              </a:solidFill>
            </a:rPr>
            <a:t> </a:t>
          </a:r>
        </a:p>
      </xdr:txBody>
    </xdr:sp>
    <xdr:clientData/>
  </xdr:twoCellAnchor>
  <xdr:twoCellAnchor>
    <xdr:from>
      <xdr:col>4</xdr:col>
      <xdr:colOff>514350</xdr:colOff>
      <xdr:row>4</xdr:row>
      <xdr:rowOff>104774</xdr:rowOff>
    </xdr:from>
    <xdr:to>
      <xdr:col>5</xdr:col>
      <xdr:colOff>561975</xdr:colOff>
      <xdr:row>7</xdr:row>
      <xdr:rowOff>76199</xdr:rowOff>
    </xdr:to>
    <xdr:sp macro="" textlink="">
      <xdr:nvSpPr>
        <xdr:cNvPr id="6" name="TextBox 5">
          <a:extLst>
            <a:ext uri="{FF2B5EF4-FFF2-40B4-BE49-F238E27FC236}">
              <a16:creationId xmlns:a16="http://schemas.microsoft.com/office/drawing/2014/main" id="{27B9A376-B41F-CE6E-1BFB-34BAE887ABC4}"/>
            </a:ext>
          </a:extLst>
        </xdr:cNvPr>
        <xdr:cNvSpPr txBox="1"/>
      </xdr:nvSpPr>
      <xdr:spPr>
        <a:xfrm>
          <a:off x="2952750" y="866774"/>
          <a:ext cx="657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a:t>
          </a:r>
          <a:r>
            <a:rPr lang="en-US" sz="1400" b="1" baseline="0">
              <a:solidFill>
                <a:schemeClr val="bg1"/>
              </a:solidFill>
            </a:rPr>
            <a:t> STAFF</a:t>
          </a:r>
          <a:endParaRPr lang="en-US" sz="1400" b="1">
            <a:solidFill>
              <a:schemeClr val="bg1"/>
            </a:solidFill>
          </a:endParaRPr>
        </a:p>
      </xdr:txBody>
    </xdr:sp>
    <xdr:clientData/>
  </xdr:twoCellAnchor>
  <xdr:twoCellAnchor>
    <xdr:from>
      <xdr:col>7</xdr:col>
      <xdr:colOff>142875</xdr:colOff>
      <xdr:row>4</xdr:row>
      <xdr:rowOff>104774</xdr:rowOff>
    </xdr:from>
    <xdr:to>
      <xdr:col>8</xdr:col>
      <xdr:colOff>190500</xdr:colOff>
      <xdr:row>7</xdr:row>
      <xdr:rowOff>76199</xdr:rowOff>
    </xdr:to>
    <xdr:sp macro="" textlink="">
      <xdr:nvSpPr>
        <xdr:cNvPr id="9" name="TextBox 8">
          <a:extLst>
            <a:ext uri="{FF2B5EF4-FFF2-40B4-BE49-F238E27FC236}">
              <a16:creationId xmlns:a16="http://schemas.microsoft.com/office/drawing/2014/main" id="{F7A4B7CC-DCA0-AC81-B2C7-57B95910E0CA}"/>
            </a:ext>
          </a:extLst>
        </xdr:cNvPr>
        <xdr:cNvSpPr txBox="1"/>
      </xdr:nvSpPr>
      <xdr:spPr>
        <a:xfrm>
          <a:off x="4410075" y="866774"/>
          <a:ext cx="657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YES</a:t>
          </a:r>
          <a:r>
            <a:rPr lang="en-US" sz="1400" b="1" baseline="0">
              <a:solidFill>
                <a:schemeClr val="bg1"/>
              </a:solidFill>
            </a:rPr>
            <a:t> STAFF</a:t>
          </a:r>
          <a:endParaRPr lang="en-US" sz="1400" b="1">
            <a:solidFill>
              <a:schemeClr val="bg1"/>
            </a:solidFill>
          </a:endParaRPr>
        </a:p>
      </xdr:txBody>
    </xdr:sp>
    <xdr:clientData/>
  </xdr:twoCellAnchor>
  <xdr:twoCellAnchor>
    <xdr:from>
      <xdr:col>9</xdr:col>
      <xdr:colOff>180975</xdr:colOff>
      <xdr:row>3</xdr:row>
      <xdr:rowOff>161925</xdr:rowOff>
    </xdr:from>
    <xdr:to>
      <xdr:col>11</xdr:col>
      <xdr:colOff>352425</xdr:colOff>
      <xdr:row>5</xdr:row>
      <xdr:rowOff>133351</xdr:rowOff>
    </xdr:to>
    <xdr:sp macro="" textlink="">
      <xdr:nvSpPr>
        <xdr:cNvPr id="13" name="TextBox 12">
          <a:extLst>
            <a:ext uri="{FF2B5EF4-FFF2-40B4-BE49-F238E27FC236}">
              <a16:creationId xmlns:a16="http://schemas.microsoft.com/office/drawing/2014/main" id="{1A3EA372-BD49-D826-5DFF-336A7928F84A}"/>
            </a:ext>
          </a:extLst>
        </xdr:cNvPr>
        <xdr:cNvSpPr txBox="1"/>
      </xdr:nvSpPr>
      <xdr:spPr>
        <a:xfrm>
          <a:off x="5734050" y="733425"/>
          <a:ext cx="139065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ATTRITION</a:t>
          </a:r>
          <a:r>
            <a:rPr lang="en-US" sz="1400" b="1" baseline="0">
              <a:solidFill>
                <a:schemeClr val="bg1"/>
              </a:solidFill>
            </a:rPr>
            <a:t> RATE</a:t>
          </a:r>
          <a:endParaRPr lang="en-US" sz="1400" b="1">
            <a:solidFill>
              <a:schemeClr val="bg1"/>
            </a:solidFill>
          </a:endParaRPr>
        </a:p>
      </xdr:txBody>
    </xdr:sp>
    <xdr:clientData/>
  </xdr:twoCellAnchor>
  <xdr:twoCellAnchor>
    <xdr:from>
      <xdr:col>11</xdr:col>
      <xdr:colOff>295274</xdr:colOff>
      <xdr:row>3</xdr:row>
      <xdr:rowOff>161925</xdr:rowOff>
    </xdr:from>
    <xdr:to>
      <xdr:col>14</xdr:col>
      <xdr:colOff>161925</xdr:colOff>
      <xdr:row>5</xdr:row>
      <xdr:rowOff>57150</xdr:rowOff>
    </xdr:to>
    <xdr:sp macro="" textlink="">
      <xdr:nvSpPr>
        <xdr:cNvPr id="15" name="TextBox 14">
          <a:extLst>
            <a:ext uri="{FF2B5EF4-FFF2-40B4-BE49-F238E27FC236}">
              <a16:creationId xmlns:a16="http://schemas.microsoft.com/office/drawing/2014/main" id="{AB2B78B0-0079-DE00-38F8-4BB6A71D1C88}"/>
            </a:ext>
          </a:extLst>
        </xdr:cNvPr>
        <xdr:cNvSpPr txBox="1"/>
      </xdr:nvSpPr>
      <xdr:spPr>
        <a:xfrm>
          <a:off x="7067549" y="733425"/>
          <a:ext cx="1514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AVERAGE SALARY</a:t>
          </a:r>
        </a:p>
      </xdr:txBody>
    </xdr:sp>
    <xdr:clientData/>
  </xdr:twoCellAnchor>
  <xdr:twoCellAnchor>
    <xdr:from>
      <xdr:col>14</xdr:col>
      <xdr:colOff>352424</xdr:colOff>
      <xdr:row>3</xdr:row>
      <xdr:rowOff>114301</xdr:rowOff>
    </xdr:from>
    <xdr:to>
      <xdr:col>16</xdr:col>
      <xdr:colOff>76199</xdr:colOff>
      <xdr:row>7</xdr:row>
      <xdr:rowOff>171451</xdr:rowOff>
    </xdr:to>
    <xdr:sp macro="" textlink="">
      <xdr:nvSpPr>
        <xdr:cNvPr id="20" name="TextBox 19">
          <a:extLst>
            <a:ext uri="{FF2B5EF4-FFF2-40B4-BE49-F238E27FC236}">
              <a16:creationId xmlns:a16="http://schemas.microsoft.com/office/drawing/2014/main" id="{5C5EABFA-30F6-1A97-CF6F-9C58EA18A80E}"/>
            </a:ext>
          </a:extLst>
        </xdr:cNvPr>
        <xdr:cNvSpPr txBox="1"/>
      </xdr:nvSpPr>
      <xdr:spPr>
        <a:xfrm>
          <a:off x="8772524" y="685801"/>
          <a:ext cx="942975"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AVERAGE YEAR</a:t>
          </a:r>
          <a:r>
            <a:rPr lang="en-US" sz="1400" b="1" baseline="0">
              <a:solidFill>
                <a:schemeClr val="bg1"/>
              </a:solidFill>
            </a:rPr>
            <a:t> OF SERVICE</a:t>
          </a:r>
          <a:endParaRPr lang="en-US" sz="1400" b="1">
            <a:solidFill>
              <a:schemeClr val="bg1"/>
            </a:solidFill>
          </a:endParaRPr>
        </a:p>
      </xdr:txBody>
    </xdr:sp>
    <xdr:clientData/>
  </xdr:twoCellAnchor>
  <xdr:twoCellAnchor>
    <xdr:from>
      <xdr:col>16</xdr:col>
      <xdr:colOff>504826</xdr:colOff>
      <xdr:row>3</xdr:row>
      <xdr:rowOff>123824</xdr:rowOff>
    </xdr:from>
    <xdr:to>
      <xdr:col>19</xdr:col>
      <xdr:colOff>28576</xdr:colOff>
      <xdr:row>7</xdr:row>
      <xdr:rowOff>161925</xdr:rowOff>
    </xdr:to>
    <xdr:sp macro="" textlink="">
      <xdr:nvSpPr>
        <xdr:cNvPr id="23" name="TextBox 22">
          <a:extLst>
            <a:ext uri="{FF2B5EF4-FFF2-40B4-BE49-F238E27FC236}">
              <a16:creationId xmlns:a16="http://schemas.microsoft.com/office/drawing/2014/main" id="{FB1E3A7A-8080-B901-CEE1-299FD7C76222}"/>
            </a:ext>
          </a:extLst>
        </xdr:cNvPr>
        <xdr:cNvSpPr txBox="1"/>
      </xdr:nvSpPr>
      <xdr:spPr>
        <a:xfrm>
          <a:off x="10144126" y="695324"/>
          <a:ext cx="1352550" cy="80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AVERAGE</a:t>
          </a:r>
        </a:p>
        <a:p>
          <a:pPr algn="l"/>
          <a:r>
            <a:rPr lang="en-US" sz="1400" b="1">
              <a:solidFill>
                <a:schemeClr val="bg1"/>
              </a:solidFill>
            </a:rPr>
            <a:t>PERFORMANCERATING</a:t>
          </a:r>
        </a:p>
      </xdr:txBody>
    </xdr:sp>
    <xdr:clientData/>
  </xdr:twoCellAnchor>
  <xdr:twoCellAnchor>
    <xdr:from>
      <xdr:col>20</xdr:col>
      <xdr:colOff>142875</xdr:colOff>
      <xdr:row>3</xdr:row>
      <xdr:rowOff>133350</xdr:rowOff>
    </xdr:from>
    <xdr:to>
      <xdr:col>22</xdr:col>
      <xdr:colOff>247650</xdr:colOff>
      <xdr:row>7</xdr:row>
      <xdr:rowOff>180976</xdr:rowOff>
    </xdr:to>
    <xdr:sp macro="" textlink="">
      <xdr:nvSpPr>
        <xdr:cNvPr id="25" name="TextBox 24">
          <a:extLst>
            <a:ext uri="{FF2B5EF4-FFF2-40B4-BE49-F238E27FC236}">
              <a16:creationId xmlns:a16="http://schemas.microsoft.com/office/drawing/2014/main" id="{F7038A95-D83F-1666-1512-57A455190A6E}"/>
            </a:ext>
          </a:extLst>
        </xdr:cNvPr>
        <xdr:cNvSpPr txBox="1"/>
      </xdr:nvSpPr>
      <xdr:spPr>
        <a:xfrm>
          <a:off x="12220575" y="704850"/>
          <a:ext cx="1323975" cy="80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AVERAGE</a:t>
          </a:r>
        </a:p>
        <a:p>
          <a:pPr algn="l"/>
          <a:r>
            <a:rPr lang="en-US" sz="1400" b="1" baseline="0">
              <a:solidFill>
                <a:schemeClr val="bg1"/>
              </a:solidFill>
            </a:rPr>
            <a:t> SATISFACTION</a:t>
          </a:r>
        </a:p>
        <a:p>
          <a:pPr algn="l"/>
          <a:r>
            <a:rPr lang="en-US" sz="1400" b="1" baseline="0">
              <a:solidFill>
                <a:schemeClr val="bg1"/>
              </a:solidFill>
            </a:rPr>
            <a:t> SCORE</a:t>
          </a:r>
          <a:endParaRPr lang="en-US" sz="1400" b="1">
            <a:solidFill>
              <a:schemeClr val="bg1"/>
            </a:solidFill>
          </a:endParaRPr>
        </a:p>
      </xdr:txBody>
    </xdr:sp>
    <xdr:clientData/>
  </xdr:twoCellAnchor>
  <xdr:twoCellAnchor>
    <xdr:from>
      <xdr:col>22</xdr:col>
      <xdr:colOff>542925</xdr:colOff>
      <xdr:row>4</xdr:row>
      <xdr:rowOff>47625</xdr:rowOff>
    </xdr:from>
    <xdr:to>
      <xdr:col>25</xdr:col>
      <xdr:colOff>238125</xdr:colOff>
      <xdr:row>7</xdr:row>
      <xdr:rowOff>38100</xdr:rowOff>
    </xdr:to>
    <xdr:sp macro="" textlink="">
      <xdr:nvSpPr>
        <xdr:cNvPr id="27" name="TextBox 26">
          <a:extLst>
            <a:ext uri="{FF2B5EF4-FFF2-40B4-BE49-F238E27FC236}">
              <a16:creationId xmlns:a16="http://schemas.microsoft.com/office/drawing/2014/main" id="{19BFAD4B-2429-0707-8966-2BA70F26BFAB}"/>
            </a:ext>
          </a:extLst>
        </xdr:cNvPr>
        <xdr:cNvSpPr txBox="1"/>
      </xdr:nvSpPr>
      <xdr:spPr>
        <a:xfrm>
          <a:off x="13839825" y="809625"/>
          <a:ext cx="15240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rPr>
            <a:t>TOTAL</a:t>
          </a:r>
          <a:r>
            <a:rPr lang="en-US" sz="1400" b="1" baseline="0">
              <a:solidFill>
                <a:schemeClr val="bg1"/>
              </a:solidFill>
            </a:rPr>
            <a:t> NUMBERS</a:t>
          </a:r>
        </a:p>
        <a:p>
          <a:pPr algn="l"/>
          <a:r>
            <a:rPr lang="en-US" sz="1400" b="1" baseline="0">
              <a:solidFill>
                <a:schemeClr val="bg1"/>
              </a:solidFill>
            </a:rPr>
            <a:t> OF DEPARTMENT</a:t>
          </a:r>
          <a:endParaRPr lang="en-US" sz="1400" b="1">
            <a:solidFill>
              <a:schemeClr val="bg1"/>
            </a:solidFill>
          </a:endParaRPr>
        </a:p>
      </xdr:txBody>
    </xdr:sp>
    <xdr:clientData/>
  </xdr:twoCellAnchor>
  <xdr:twoCellAnchor>
    <xdr:from>
      <xdr:col>4</xdr:col>
      <xdr:colOff>457199</xdr:colOff>
      <xdr:row>25</xdr:row>
      <xdr:rowOff>47625</xdr:rowOff>
    </xdr:from>
    <xdr:to>
      <xdr:col>8</xdr:col>
      <xdr:colOff>476250</xdr:colOff>
      <xdr:row>37</xdr:row>
      <xdr:rowOff>1</xdr:rowOff>
    </xdr:to>
    <xdr:graphicFrame macro="">
      <xdr:nvGraphicFramePr>
        <xdr:cNvPr id="34" name="Chart 33">
          <a:extLst>
            <a:ext uri="{FF2B5EF4-FFF2-40B4-BE49-F238E27FC236}">
              <a16:creationId xmlns:a16="http://schemas.microsoft.com/office/drawing/2014/main" id="{B141FD92-2DB8-48CF-BC83-F1F7779E7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542925</xdr:colOff>
      <xdr:row>23</xdr:row>
      <xdr:rowOff>114300</xdr:rowOff>
    </xdr:from>
    <xdr:to>
      <xdr:col>8</xdr:col>
      <xdr:colOff>247650</xdr:colOff>
      <xdr:row>25</xdr:row>
      <xdr:rowOff>0</xdr:rowOff>
    </xdr:to>
    <xdr:sp macro="" textlink="">
      <xdr:nvSpPr>
        <xdr:cNvPr id="35" name="TextBox 34">
          <a:extLst>
            <a:ext uri="{FF2B5EF4-FFF2-40B4-BE49-F238E27FC236}">
              <a16:creationId xmlns:a16="http://schemas.microsoft.com/office/drawing/2014/main" id="{F7684554-CA60-75AA-38EB-E3B59096975B}"/>
            </a:ext>
          </a:extLst>
        </xdr:cNvPr>
        <xdr:cNvSpPr txBox="1"/>
      </xdr:nvSpPr>
      <xdr:spPr>
        <a:xfrm>
          <a:off x="2981325" y="4495800"/>
          <a:ext cx="2143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GENDER</a:t>
          </a:r>
        </a:p>
      </xdr:txBody>
    </xdr:sp>
    <xdr:clientData/>
  </xdr:twoCellAnchor>
  <xdr:twoCellAnchor>
    <xdr:from>
      <xdr:col>8</xdr:col>
      <xdr:colOff>552451</xdr:colOff>
      <xdr:row>23</xdr:row>
      <xdr:rowOff>85724</xdr:rowOff>
    </xdr:from>
    <xdr:to>
      <xdr:col>13</xdr:col>
      <xdr:colOff>76201</xdr:colOff>
      <xdr:row>37</xdr:row>
      <xdr:rowOff>190499</xdr:rowOff>
    </xdr:to>
    <xdr:sp macro="" textlink="">
      <xdr:nvSpPr>
        <xdr:cNvPr id="37" name="Rectangle: Rounded Corners 36">
          <a:extLst>
            <a:ext uri="{FF2B5EF4-FFF2-40B4-BE49-F238E27FC236}">
              <a16:creationId xmlns:a16="http://schemas.microsoft.com/office/drawing/2014/main" id="{8384E5B6-2EC3-E2EF-EF70-4E519CEC220A}"/>
            </a:ext>
          </a:extLst>
        </xdr:cNvPr>
        <xdr:cNvSpPr/>
      </xdr:nvSpPr>
      <xdr:spPr>
        <a:xfrm>
          <a:off x="5429251" y="4467224"/>
          <a:ext cx="2571750" cy="2771775"/>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552451</xdr:colOff>
      <xdr:row>26</xdr:row>
      <xdr:rowOff>47626</xdr:rowOff>
    </xdr:from>
    <xdr:to>
      <xdr:col>13</xdr:col>
      <xdr:colOff>38100</xdr:colOff>
      <xdr:row>37</xdr:row>
      <xdr:rowOff>85726</xdr:rowOff>
    </xdr:to>
    <xdr:graphicFrame macro="">
      <xdr:nvGraphicFramePr>
        <xdr:cNvPr id="36" name="Chart 35">
          <a:extLst>
            <a:ext uri="{FF2B5EF4-FFF2-40B4-BE49-F238E27FC236}">
              <a16:creationId xmlns:a16="http://schemas.microsoft.com/office/drawing/2014/main" id="{C1DF486A-3A92-43A7-9AFE-F5FF21F8B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xdr:colOff>
      <xdr:row>23</xdr:row>
      <xdr:rowOff>95250</xdr:rowOff>
    </xdr:from>
    <xdr:to>
      <xdr:col>13</xdr:col>
      <xdr:colOff>0</xdr:colOff>
      <xdr:row>24</xdr:row>
      <xdr:rowOff>171450</xdr:rowOff>
    </xdr:to>
    <xdr:sp macro="" textlink="">
      <xdr:nvSpPr>
        <xdr:cNvPr id="38" name="TextBox 37">
          <a:extLst>
            <a:ext uri="{FF2B5EF4-FFF2-40B4-BE49-F238E27FC236}">
              <a16:creationId xmlns:a16="http://schemas.microsoft.com/office/drawing/2014/main" id="{5D1EB1F7-F078-1F4E-4C9D-947C7FD29DC0}"/>
            </a:ext>
          </a:extLst>
        </xdr:cNvPr>
        <xdr:cNvSpPr txBox="1"/>
      </xdr:nvSpPr>
      <xdr:spPr>
        <a:xfrm>
          <a:off x="5495925" y="4476750"/>
          <a:ext cx="2428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AGE</a:t>
          </a:r>
          <a:r>
            <a:rPr lang="en-US" sz="1600" b="1" baseline="0"/>
            <a:t> GROUP</a:t>
          </a:r>
          <a:endParaRPr lang="en-US" sz="1600" b="1"/>
        </a:p>
      </xdr:txBody>
    </xdr:sp>
    <xdr:clientData/>
  </xdr:twoCellAnchor>
  <xdr:twoCellAnchor>
    <xdr:from>
      <xdr:col>13</xdr:col>
      <xdr:colOff>66675</xdr:colOff>
      <xdr:row>23</xdr:row>
      <xdr:rowOff>76200</xdr:rowOff>
    </xdr:from>
    <xdr:to>
      <xdr:col>19</xdr:col>
      <xdr:colOff>19050</xdr:colOff>
      <xdr:row>38</xdr:row>
      <xdr:rowOff>19050</xdr:rowOff>
    </xdr:to>
    <xdr:sp macro="" textlink="">
      <xdr:nvSpPr>
        <xdr:cNvPr id="39" name="Rectangle: Rounded Corners 38">
          <a:extLst>
            <a:ext uri="{FF2B5EF4-FFF2-40B4-BE49-F238E27FC236}">
              <a16:creationId xmlns:a16="http://schemas.microsoft.com/office/drawing/2014/main" id="{6D5CB804-213A-EBEC-099E-294AAD157366}"/>
            </a:ext>
          </a:extLst>
        </xdr:cNvPr>
        <xdr:cNvSpPr/>
      </xdr:nvSpPr>
      <xdr:spPr>
        <a:xfrm>
          <a:off x="7991475" y="4457700"/>
          <a:ext cx="360997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123825</xdr:colOff>
      <xdr:row>25</xdr:row>
      <xdr:rowOff>171451</xdr:rowOff>
    </xdr:from>
    <xdr:to>
      <xdr:col>18</xdr:col>
      <xdr:colOff>409575</xdr:colOff>
      <xdr:row>37</xdr:row>
      <xdr:rowOff>152401</xdr:rowOff>
    </xdr:to>
    <xdr:graphicFrame macro="">
      <xdr:nvGraphicFramePr>
        <xdr:cNvPr id="40" name="Chart 39">
          <a:extLst>
            <a:ext uri="{FF2B5EF4-FFF2-40B4-BE49-F238E27FC236}">
              <a16:creationId xmlns:a16="http://schemas.microsoft.com/office/drawing/2014/main" id="{C252A4AF-B4A1-40A4-B376-DD2761626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352425</xdr:colOff>
      <xdr:row>23</xdr:row>
      <xdr:rowOff>114300</xdr:rowOff>
    </xdr:from>
    <xdr:to>
      <xdr:col>18</xdr:col>
      <xdr:colOff>390525</xdr:colOff>
      <xdr:row>25</xdr:row>
      <xdr:rowOff>0</xdr:rowOff>
    </xdr:to>
    <xdr:sp macro="" textlink="">
      <xdr:nvSpPr>
        <xdr:cNvPr id="41" name="TextBox 40">
          <a:extLst>
            <a:ext uri="{FF2B5EF4-FFF2-40B4-BE49-F238E27FC236}">
              <a16:creationId xmlns:a16="http://schemas.microsoft.com/office/drawing/2014/main" id="{6F94F3CB-EEEA-3167-94A9-159D82BA7CC8}"/>
            </a:ext>
          </a:extLst>
        </xdr:cNvPr>
        <xdr:cNvSpPr txBox="1"/>
      </xdr:nvSpPr>
      <xdr:spPr>
        <a:xfrm>
          <a:off x="8277225" y="4495800"/>
          <a:ext cx="3086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JOB</a:t>
          </a:r>
          <a:r>
            <a:rPr lang="en-US" sz="1600" b="1" baseline="0"/>
            <a:t> SATISFACTION</a:t>
          </a:r>
          <a:endParaRPr lang="en-US" sz="1600" b="1"/>
        </a:p>
      </xdr:txBody>
    </xdr:sp>
    <xdr:clientData/>
  </xdr:twoCellAnchor>
  <xdr:twoCellAnchor>
    <xdr:from>
      <xdr:col>4</xdr:col>
      <xdr:colOff>228600</xdr:colOff>
      <xdr:row>8</xdr:row>
      <xdr:rowOff>114300</xdr:rowOff>
    </xdr:from>
    <xdr:to>
      <xdr:col>10</xdr:col>
      <xdr:colOff>142875</xdr:colOff>
      <xdr:row>23</xdr:row>
      <xdr:rowOff>57150</xdr:rowOff>
    </xdr:to>
    <xdr:sp macro="" textlink="">
      <xdr:nvSpPr>
        <xdr:cNvPr id="42" name="Rectangle: Rounded Corners 41">
          <a:extLst>
            <a:ext uri="{FF2B5EF4-FFF2-40B4-BE49-F238E27FC236}">
              <a16:creationId xmlns:a16="http://schemas.microsoft.com/office/drawing/2014/main" id="{834E24EA-19C8-A570-CCD4-7296C89896F2}"/>
            </a:ext>
          </a:extLst>
        </xdr:cNvPr>
        <xdr:cNvSpPr/>
      </xdr:nvSpPr>
      <xdr:spPr>
        <a:xfrm>
          <a:off x="2667000" y="1638300"/>
          <a:ext cx="357187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10</xdr:row>
      <xdr:rowOff>171450</xdr:rowOff>
    </xdr:from>
    <xdr:to>
      <xdr:col>10</xdr:col>
      <xdr:colOff>19049</xdr:colOff>
      <xdr:row>22</xdr:row>
      <xdr:rowOff>85724</xdr:rowOff>
    </xdr:to>
    <xdr:graphicFrame macro="">
      <xdr:nvGraphicFramePr>
        <xdr:cNvPr id="43" name="Chart 42">
          <a:extLst>
            <a:ext uri="{FF2B5EF4-FFF2-40B4-BE49-F238E27FC236}">
              <a16:creationId xmlns:a16="http://schemas.microsoft.com/office/drawing/2014/main" id="{40B9E8A0-257B-4B3C-B30F-0BF0EFEF9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12</xdr:row>
      <xdr:rowOff>171450</xdr:rowOff>
    </xdr:from>
    <xdr:to>
      <xdr:col>6</xdr:col>
      <xdr:colOff>304800</xdr:colOff>
      <xdr:row>14</xdr:row>
      <xdr:rowOff>38100</xdr:rowOff>
    </xdr:to>
    <xdr:sp macro="" textlink="">
      <xdr:nvSpPr>
        <xdr:cNvPr id="44" name="TextBox 43">
          <a:extLst>
            <a:ext uri="{FF2B5EF4-FFF2-40B4-BE49-F238E27FC236}">
              <a16:creationId xmlns:a16="http://schemas.microsoft.com/office/drawing/2014/main" id="{CD034640-D98F-E312-64A7-F57252B6D25F}"/>
            </a:ext>
          </a:extLst>
        </xdr:cNvPr>
        <xdr:cNvSpPr txBox="1"/>
      </xdr:nvSpPr>
      <xdr:spPr>
        <a:xfrm>
          <a:off x="2619375" y="2457450"/>
          <a:ext cx="1343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UNSATISFACTORY</a:t>
          </a:r>
        </a:p>
      </xdr:txBody>
    </xdr:sp>
    <xdr:clientData/>
  </xdr:twoCellAnchor>
  <xdr:twoCellAnchor>
    <xdr:from>
      <xdr:col>6</xdr:col>
      <xdr:colOff>209551</xdr:colOff>
      <xdr:row>12</xdr:row>
      <xdr:rowOff>161926</xdr:rowOff>
    </xdr:from>
    <xdr:to>
      <xdr:col>7</xdr:col>
      <xdr:colOff>19050</xdr:colOff>
      <xdr:row>14</xdr:row>
      <xdr:rowOff>47626</xdr:rowOff>
    </xdr:to>
    <xdr:sp macro="" textlink="">
      <xdr:nvSpPr>
        <xdr:cNvPr id="45" name="TextBox 44">
          <a:extLst>
            <a:ext uri="{FF2B5EF4-FFF2-40B4-BE49-F238E27FC236}">
              <a16:creationId xmlns:a16="http://schemas.microsoft.com/office/drawing/2014/main" id="{A693DCB5-8C27-F3B8-BF26-9D2F06B025CF}"/>
            </a:ext>
          </a:extLst>
        </xdr:cNvPr>
        <xdr:cNvSpPr txBox="1"/>
      </xdr:nvSpPr>
      <xdr:spPr>
        <a:xfrm>
          <a:off x="3867151" y="2447926"/>
          <a:ext cx="419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rPr>
            <a:t>135</a:t>
          </a:r>
        </a:p>
      </xdr:txBody>
    </xdr:sp>
    <xdr:clientData/>
  </xdr:twoCellAnchor>
  <xdr:twoCellAnchor>
    <xdr:from>
      <xdr:col>4</xdr:col>
      <xdr:colOff>180975</xdr:colOff>
      <xdr:row>14</xdr:row>
      <xdr:rowOff>66676</xdr:rowOff>
    </xdr:from>
    <xdr:to>
      <xdr:col>6</xdr:col>
      <xdr:colOff>314325</xdr:colOff>
      <xdr:row>15</xdr:row>
      <xdr:rowOff>133350</xdr:rowOff>
    </xdr:to>
    <xdr:sp macro="" textlink="">
      <xdr:nvSpPr>
        <xdr:cNvPr id="46" name="TextBox 45">
          <a:extLst>
            <a:ext uri="{FF2B5EF4-FFF2-40B4-BE49-F238E27FC236}">
              <a16:creationId xmlns:a16="http://schemas.microsoft.com/office/drawing/2014/main" id="{E2BD1EEE-34C9-865C-58D3-DD0C05F05EB8}"/>
            </a:ext>
          </a:extLst>
        </xdr:cNvPr>
        <xdr:cNvSpPr txBox="1"/>
      </xdr:nvSpPr>
      <xdr:spPr>
        <a:xfrm>
          <a:off x="2619375" y="2733676"/>
          <a:ext cx="13525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rPr>
            <a:t>OUTSTANDING</a:t>
          </a:r>
        </a:p>
      </xdr:txBody>
    </xdr:sp>
    <xdr:clientData/>
  </xdr:twoCellAnchor>
  <xdr:twoCellAnchor>
    <xdr:from>
      <xdr:col>6</xdr:col>
      <xdr:colOff>238126</xdr:colOff>
      <xdr:row>14</xdr:row>
      <xdr:rowOff>47626</xdr:rowOff>
    </xdr:from>
    <xdr:to>
      <xdr:col>7</xdr:col>
      <xdr:colOff>47625</xdr:colOff>
      <xdr:row>15</xdr:row>
      <xdr:rowOff>123826</xdr:rowOff>
    </xdr:to>
    <xdr:sp macro="" textlink="">
      <xdr:nvSpPr>
        <xdr:cNvPr id="47" name="TextBox 46">
          <a:extLst>
            <a:ext uri="{FF2B5EF4-FFF2-40B4-BE49-F238E27FC236}">
              <a16:creationId xmlns:a16="http://schemas.microsoft.com/office/drawing/2014/main" id="{279400CB-3E58-974E-B52B-94305A8120E2}"/>
            </a:ext>
          </a:extLst>
        </xdr:cNvPr>
        <xdr:cNvSpPr txBox="1"/>
      </xdr:nvSpPr>
      <xdr:spPr>
        <a:xfrm>
          <a:off x="3895726" y="2714626"/>
          <a:ext cx="419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rPr>
            <a:t>65</a:t>
          </a:r>
        </a:p>
      </xdr:txBody>
    </xdr:sp>
    <xdr:clientData/>
  </xdr:twoCellAnchor>
  <xdr:twoCellAnchor>
    <xdr:from>
      <xdr:col>4</xdr:col>
      <xdr:colOff>180975</xdr:colOff>
      <xdr:row>15</xdr:row>
      <xdr:rowOff>180976</xdr:rowOff>
    </xdr:from>
    <xdr:to>
      <xdr:col>6</xdr:col>
      <xdr:colOff>476249</xdr:colOff>
      <xdr:row>17</xdr:row>
      <xdr:rowOff>57150</xdr:rowOff>
    </xdr:to>
    <xdr:sp macro="" textlink="">
      <xdr:nvSpPr>
        <xdr:cNvPr id="48" name="TextBox 47">
          <a:extLst>
            <a:ext uri="{FF2B5EF4-FFF2-40B4-BE49-F238E27FC236}">
              <a16:creationId xmlns:a16="http://schemas.microsoft.com/office/drawing/2014/main" id="{3600C073-00FB-FE0A-0C4F-B41A0FE7DD1B}"/>
            </a:ext>
          </a:extLst>
        </xdr:cNvPr>
        <xdr:cNvSpPr txBox="1"/>
      </xdr:nvSpPr>
      <xdr:spPr>
        <a:xfrm>
          <a:off x="2619375" y="3038476"/>
          <a:ext cx="1514474"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40000"/>
                  <a:lumOff val="60000"/>
                </a:schemeClr>
              </a:solidFill>
            </a:rPr>
            <a:t>NEED</a:t>
          </a:r>
          <a:r>
            <a:rPr lang="en-US" sz="1200" b="1" baseline="0">
              <a:solidFill>
                <a:schemeClr val="accent1">
                  <a:lumMod val="40000"/>
                  <a:lumOff val="60000"/>
                </a:schemeClr>
              </a:solidFill>
            </a:rPr>
            <a:t> IMPROVEMENT</a:t>
          </a:r>
          <a:endParaRPr lang="en-US" sz="1200" b="1">
            <a:solidFill>
              <a:schemeClr val="accent1">
                <a:lumMod val="40000"/>
                <a:lumOff val="60000"/>
              </a:schemeClr>
            </a:solidFill>
          </a:endParaRPr>
        </a:p>
      </xdr:txBody>
    </xdr:sp>
    <xdr:clientData/>
  </xdr:twoCellAnchor>
  <xdr:twoCellAnchor>
    <xdr:from>
      <xdr:col>6</xdr:col>
      <xdr:colOff>390526</xdr:colOff>
      <xdr:row>15</xdr:row>
      <xdr:rowOff>161926</xdr:rowOff>
    </xdr:from>
    <xdr:to>
      <xdr:col>7</xdr:col>
      <xdr:colOff>200025</xdr:colOff>
      <xdr:row>17</xdr:row>
      <xdr:rowOff>47626</xdr:rowOff>
    </xdr:to>
    <xdr:sp macro="" textlink="">
      <xdr:nvSpPr>
        <xdr:cNvPr id="49" name="TextBox 48">
          <a:extLst>
            <a:ext uri="{FF2B5EF4-FFF2-40B4-BE49-F238E27FC236}">
              <a16:creationId xmlns:a16="http://schemas.microsoft.com/office/drawing/2014/main" id="{0B0FE204-5743-248F-9495-C8DAF703A437}"/>
            </a:ext>
          </a:extLst>
        </xdr:cNvPr>
        <xdr:cNvSpPr txBox="1"/>
      </xdr:nvSpPr>
      <xdr:spPr>
        <a:xfrm>
          <a:off x="4048126" y="3019426"/>
          <a:ext cx="419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rPr>
            <a:t>176</a:t>
          </a:r>
        </a:p>
      </xdr:txBody>
    </xdr:sp>
    <xdr:clientData/>
  </xdr:twoCellAnchor>
  <xdr:twoCellAnchor>
    <xdr:from>
      <xdr:col>4</xdr:col>
      <xdr:colOff>180975</xdr:colOff>
      <xdr:row>17</xdr:row>
      <xdr:rowOff>104776</xdr:rowOff>
    </xdr:from>
    <xdr:to>
      <xdr:col>6</xdr:col>
      <xdr:colOff>476249</xdr:colOff>
      <xdr:row>18</xdr:row>
      <xdr:rowOff>171450</xdr:rowOff>
    </xdr:to>
    <xdr:sp macro="" textlink="">
      <xdr:nvSpPr>
        <xdr:cNvPr id="50" name="TextBox 49">
          <a:extLst>
            <a:ext uri="{FF2B5EF4-FFF2-40B4-BE49-F238E27FC236}">
              <a16:creationId xmlns:a16="http://schemas.microsoft.com/office/drawing/2014/main" id="{2056683F-A52C-CC94-7BC2-5C5ACF63CB2E}"/>
            </a:ext>
          </a:extLst>
        </xdr:cNvPr>
        <xdr:cNvSpPr txBox="1"/>
      </xdr:nvSpPr>
      <xdr:spPr>
        <a:xfrm>
          <a:off x="2619375" y="3343276"/>
          <a:ext cx="1514474"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MEETS</a:t>
          </a:r>
          <a:r>
            <a:rPr lang="en-US" sz="1200" b="1" baseline="0">
              <a:solidFill>
                <a:schemeClr val="bg2"/>
              </a:solidFill>
            </a:rPr>
            <a:t> EXPECTATION</a:t>
          </a:r>
          <a:endParaRPr lang="en-US" sz="1200" b="1">
            <a:solidFill>
              <a:schemeClr val="bg2"/>
            </a:solidFill>
          </a:endParaRPr>
        </a:p>
      </xdr:txBody>
    </xdr:sp>
    <xdr:clientData/>
  </xdr:twoCellAnchor>
  <xdr:twoCellAnchor>
    <xdr:from>
      <xdr:col>6</xdr:col>
      <xdr:colOff>390526</xdr:colOff>
      <xdr:row>17</xdr:row>
      <xdr:rowOff>104776</xdr:rowOff>
    </xdr:from>
    <xdr:to>
      <xdr:col>7</xdr:col>
      <xdr:colOff>200025</xdr:colOff>
      <xdr:row>18</xdr:row>
      <xdr:rowOff>180976</xdr:rowOff>
    </xdr:to>
    <xdr:sp macro="" textlink="">
      <xdr:nvSpPr>
        <xdr:cNvPr id="51" name="TextBox 50">
          <a:extLst>
            <a:ext uri="{FF2B5EF4-FFF2-40B4-BE49-F238E27FC236}">
              <a16:creationId xmlns:a16="http://schemas.microsoft.com/office/drawing/2014/main" id="{0F516D9E-CEFC-E319-3C16-0B63CEF618C7}"/>
            </a:ext>
          </a:extLst>
        </xdr:cNvPr>
        <xdr:cNvSpPr txBox="1"/>
      </xdr:nvSpPr>
      <xdr:spPr>
        <a:xfrm>
          <a:off x="4048126" y="3343276"/>
          <a:ext cx="419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rPr>
            <a:t>246</a:t>
          </a:r>
        </a:p>
      </xdr:txBody>
    </xdr:sp>
    <xdr:clientData/>
  </xdr:twoCellAnchor>
  <xdr:twoCellAnchor>
    <xdr:from>
      <xdr:col>4</xdr:col>
      <xdr:colOff>180975</xdr:colOff>
      <xdr:row>19</xdr:row>
      <xdr:rowOff>47626</xdr:rowOff>
    </xdr:from>
    <xdr:to>
      <xdr:col>7</xdr:col>
      <xdr:colOff>57150</xdr:colOff>
      <xdr:row>20</xdr:row>
      <xdr:rowOff>114300</xdr:rowOff>
    </xdr:to>
    <xdr:sp macro="" textlink="">
      <xdr:nvSpPr>
        <xdr:cNvPr id="52" name="TextBox 51">
          <a:extLst>
            <a:ext uri="{FF2B5EF4-FFF2-40B4-BE49-F238E27FC236}">
              <a16:creationId xmlns:a16="http://schemas.microsoft.com/office/drawing/2014/main" id="{CC10C173-2170-7DE4-D347-A65D507FFCA8}"/>
            </a:ext>
          </a:extLst>
        </xdr:cNvPr>
        <xdr:cNvSpPr txBox="1"/>
      </xdr:nvSpPr>
      <xdr:spPr>
        <a:xfrm>
          <a:off x="2619375" y="3667126"/>
          <a:ext cx="170497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FFFF00"/>
              </a:solidFill>
            </a:rPr>
            <a:t>EXCEEDS EXPECTATION</a:t>
          </a:r>
          <a:endParaRPr lang="en-US" sz="1200" b="1">
            <a:solidFill>
              <a:srgbClr val="FFFF00"/>
            </a:solidFill>
          </a:endParaRPr>
        </a:p>
      </xdr:txBody>
    </xdr:sp>
    <xdr:clientData/>
  </xdr:twoCellAnchor>
  <xdr:twoCellAnchor>
    <xdr:from>
      <xdr:col>6</xdr:col>
      <xdr:colOff>542926</xdr:colOff>
      <xdr:row>19</xdr:row>
      <xdr:rowOff>57151</xdr:rowOff>
    </xdr:from>
    <xdr:to>
      <xdr:col>7</xdr:col>
      <xdr:colOff>352425</xdr:colOff>
      <xdr:row>20</xdr:row>
      <xdr:rowOff>133351</xdr:rowOff>
    </xdr:to>
    <xdr:sp macro="" textlink="">
      <xdr:nvSpPr>
        <xdr:cNvPr id="53" name="TextBox 52">
          <a:extLst>
            <a:ext uri="{FF2B5EF4-FFF2-40B4-BE49-F238E27FC236}">
              <a16:creationId xmlns:a16="http://schemas.microsoft.com/office/drawing/2014/main" id="{EFC28CFF-796A-AA4F-A46D-24DC05E9EAD7}"/>
            </a:ext>
          </a:extLst>
        </xdr:cNvPr>
        <xdr:cNvSpPr txBox="1"/>
      </xdr:nvSpPr>
      <xdr:spPr>
        <a:xfrm>
          <a:off x="4200526" y="3676651"/>
          <a:ext cx="4190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rPr>
            <a:t>158</a:t>
          </a:r>
        </a:p>
      </xdr:txBody>
    </xdr:sp>
    <xdr:clientData/>
  </xdr:twoCellAnchor>
  <xdr:twoCellAnchor>
    <xdr:from>
      <xdr:col>10</xdr:col>
      <xdr:colOff>76200</xdr:colOff>
      <xdr:row>11</xdr:row>
      <xdr:rowOff>66676</xdr:rowOff>
    </xdr:from>
    <xdr:to>
      <xdr:col>16</xdr:col>
      <xdr:colOff>85725</xdr:colOff>
      <xdr:row>23</xdr:row>
      <xdr:rowOff>0</xdr:rowOff>
    </xdr:to>
    <xdr:graphicFrame macro="">
      <xdr:nvGraphicFramePr>
        <xdr:cNvPr id="54" name="Chart 53">
          <a:extLst>
            <a:ext uri="{FF2B5EF4-FFF2-40B4-BE49-F238E27FC236}">
              <a16:creationId xmlns:a16="http://schemas.microsoft.com/office/drawing/2014/main" id="{5F8D3110-54E6-4165-8127-C6F9C6CD6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342899</xdr:colOff>
      <xdr:row>8</xdr:row>
      <xdr:rowOff>171450</xdr:rowOff>
    </xdr:from>
    <xdr:to>
      <xdr:col>10</xdr:col>
      <xdr:colOff>28574</xdr:colOff>
      <xdr:row>10</xdr:row>
      <xdr:rowOff>57150</xdr:rowOff>
    </xdr:to>
    <xdr:sp macro="" textlink="">
      <xdr:nvSpPr>
        <xdr:cNvPr id="56" name="TextBox 55">
          <a:extLst>
            <a:ext uri="{FF2B5EF4-FFF2-40B4-BE49-F238E27FC236}">
              <a16:creationId xmlns:a16="http://schemas.microsoft.com/office/drawing/2014/main" id="{48FD5DDB-0C2D-717D-55F7-F0DBAA665CF0}"/>
            </a:ext>
          </a:extLst>
        </xdr:cNvPr>
        <xdr:cNvSpPr txBox="1"/>
      </xdr:nvSpPr>
      <xdr:spPr>
        <a:xfrm>
          <a:off x="2781299" y="1695450"/>
          <a:ext cx="33432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PERFORMANCE</a:t>
          </a:r>
          <a:r>
            <a:rPr lang="en-US" sz="1600" b="1" baseline="0"/>
            <a:t> RATING</a:t>
          </a:r>
          <a:endParaRPr lang="en-US" sz="1600" b="1"/>
        </a:p>
      </xdr:txBody>
    </xdr:sp>
    <xdr:clientData/>
  </xdr:twoCellAnchor>
  <xdr:twoCellAnchor>
    <xdr:from>
      <xdr:col>4</xdr:col>
      <xdr:colOff>142873</xdr:colOff>
      <xdr:row>0</xdr:row>
      <xdr:rowOff>0</xdr:rowOff>
    </xdr:from>
    <xdr:to>
      <xdr:col>9</xdr:col>
      <xdr:colOff>438148</xdr:colOff>
      <xdr:row>0</xdr:row>
      <xdr:rowOff>0</xdr:rowOff>
    </xdr:to>
    <xdr:sp macro="" textlink="">
      <xdr:nvSpPr>
        <xdr:cNvPr id="57" name="TextBox 56">
          <a:extLst>
            <a:ext uri="{FF2B5EF4-FFF2-40B4-BE49-F238E27FC236}">
              <a16:creationId xmlns:a16="http://schemas.microsoft.com/office/drawing/2014/main" id="{70FFB710-B57A-0952-3ED7-9EC30BAFED09}"/>
            </a:ext>
          </a:extLst>
        </xdr:cNvPr>
        <xdr:cNvSpPr txBox="1"/>
      </xdr:nvSpPr>
      <xdr:spPr>
        <a:xfrm>
          <a:off x="2581273" y="0"/>
          <a:ext cx="33432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PERFORMANCE</a:t>
          </a:r>
          <a:r>
            <a:rPr lang="en-US" sz="1600" b="1" baseline="0"/>
            <a:t> RATING</a:t>
          </a:r>
          <a:endParaRPr lang="en-US" sz="1600" b="1"/>
        </a:p>
      </xdr:txBody>
    </xdr:sp>
    <xdr:clientData/>
  </xdr:twoCellAnchor>
  <xdr:twoCellAnchor>
    <xdr:from>
      <xdr:col>11</xdr:col>
      <xdr:colOff>123825</xdr:colOff>
      <xdr:row>8</xdr:row>
      <xdr:rowOff>161925</xdr:rowOff>
    </xdr:from>
    <xdr:to>
      <xdr:col>15</xdr:col>
      <xdr:colOff>285751</xdr:colOff>
      <xdr:row>10</xdr:row>
      <xdr:rowOff>47625</xdr:rowOff>
    </xdr:to>
    <xdr:sp macro="" textlink="">
      <xdr:nvSpPr>
        <xdr:cNvPr id="58" name="TextBox 57">
          <a:extLst>
            <a:ext uri="{FF2B5EF4-FFF2-40B4-BE49-F238E27FC236}">
              <a16:creationId xmlns:a16="http://schemas.microsoft.com/office/drawing/2014/main" id="{13044E92-1C42-53C3-8031-1C26872D47D3}"/>
            </a:ext>
          </a:extLst>
        </xdr:cNvPr>
        <xdr:cNvSpPr txBox="1"/>
      </xdr:nvSpPr>
      <xdr:spPr>
        <a:xfrm>
          <a:off x="6829425" y="1685925"/>
          <a:ext cx="26003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DEPARTMENT</a:t>
          </a:r>
        </a:p>
      </xdr:txBody>
    </xdr:sp>
    <xdr:clientData/>
  </xdr:twoCellAnchor>
  <xdr:twoCellAnchor>
    <xdr:from>
      <xdr:col>18</xdr:col>
      <xdr:colOff>600075</xdr:colOff>
      <xdr:row>23</xdr:row>
      <xdr:rowOff>76200</xdr:rowOff>
    </xdr:from>
    <xdr:to>
      <xdr:col>24</xdr:col>
      <xdr:colOff>95250</xdr:colOff>
      <xdr:row>38</xdr:row>
      <xdr:rowOff>19050</xdr:rowOff>
    </xdr:to>
    <xdr:sp macro="" textlink="">
      <xdr:nvSpPr>
        <xdr:cNvPr id="59" name="Rectangle: Rounded Corners 58">
          <a:extLst>
            <a:ext uri="{FF2B5EF4-FFF2-40B4-BE49-F238E27FC236}">
              <a16:creationId xmlns:a16="http://schemas.microsoft.com/office/drawing/2014/main" id="{D8FC3E1E-CC02-2556-836C-459B263E4802}"/>
            </a:ext>
          </a:extLst>
        </xdr:cNvPr>
        <xdr:cNvSpPr/>
      </xdr:nvSpPr>
      <xdr:spPr>
        <a:xfrm>
          <a:off x="11572875" y="4457700"/>
          <a:ext cx="315277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28574</xdr:colOff>
      <xdr:row>27</xdr:row>
      <xdr:rowOff>28575</xdr:rowOff>
    </xdr:from>
    <xdr:to>
      <xdr:col>23</xdr:col>
      <xdr:colOff>604837</xdr:colOff>
      <xdr:row>37</xdr:row>
      <xdr:rowOff>85725</xdr:rowOff>
    </xdr:to>
    <xdr:graphicFrame macro="">
      <xdr:nvGraphicFramePr>
        <xdr:cNvPr id="60" name="Chart 59">
          <a:extLst>
            <a:ext uri="{FF2B5EF4-FFF2-40B4-BE49-F238E27FC236}">
              <a16:creationId xmlns:a16="http://schemas.microsoft.com/office/drawing/2014/main" id="{46F918E2-34B6-431E-A78C-2F90D7BF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38100</xdr:colOff>
      <xdr:row>23</xdr:row>
      <xdr:rowOff>114300</xdr:rowOff>
    </xdr:from>
    <xdr:to>
      <xdr:col>23</xdr:col>
      <xdr:colOff>600075</xdr:colOff>
      <xdr:row>25</xdr:row>
      <xdr:rowOff>0</xdr:rowOff>
    </xdr:to>
    <xdr:sp macro="" textlink="">
      <xdr:nvSpPr>
        <xdr:cNvPr id="61" name="TextBox 60">
          <a:extLst>
            <a:ext uri="{FF2B5EF4-FFF2-40B4-BE49-F238E27FC236}">
              <a16:creationId xmlns:a16="http://schemas.microsoft.com/office/drawing/2014/main" id="{30AD3150-250D-03E7-7AE0-B31A0627E4E0}"/>
            </a:ext>
          </a:extLst>
        </xdr:cNvPr>
        <xdr:cNvSpPr txBox="1"/>
      </xdr:nvSpPr>
      <xdr:spPr>
        <a:xfrm>
          <a:off x="11620500" y="4495800"/>
          <a:ext cx="3000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JOB</a:t>
          </a:r>
          <a:r>
            <a:rPr lang="en-US" sz="1600" b="1" baseline="0"/>
            <a:t> SATISFACTION</a:t>
          </a:r>
          <a:endParaRPr lang="en-US" sz="1600" b="1"/>
        </a:p>
      </xdr:txBody>
    </xdr:sp>
    <xdr:clientData/>
  </xdr:twoCellAnchor>
  <xdr:twoCellAnchor>
    <xdr:from>
      <xdr:col>24</xdr:col>
      <xdr:colOff>57150</xdr:colOff>
      <xdr:row>23</xdr:row>
      <xdr:rowOff>76200</xdr:rowOff>
    </xdr:from>
    <xdr:to>
      <xdr:col>29</xdr:col>
      <xdr:colOff>161925</xdr:colOff>
      <xdr:row>38</xdr:row>
      <xdr:rowOff>19050</xdr:rowOff>
    </xdr:to>
    <xdr:sp macro="" textlink="">
      <xdr:nvSpPr>
        <xdr:cNvPr id="63" name="Rectangle: Rounded Corners 62">
          <a:extLst>
            <a:ext uri="{FF2B5EF4-FFF2-40B4-BE49-F238E27FC236}">
              <a16:creationId xmlns:a16="http://schemas.microsoft.com/office/drawing/2014/main" id="{BAA864E7-DCD8-7EE1-BB69-ECD028C6E433}"/>
            </a:ext>
          </a:extLst>
        </xdr:cNvPr>
        <xdr:cNvSpPr/>
      </xdr:nvSpPr>
      <xdr:spPr>
        <a:xfrm>
          <a:off x="14687550" y="4457700"/>
          <a:ext cx="3152775" cy="2800350"/>
        </a:xfrm>
        <a:prstGeom prst="roundRect">
          <a:avLst>
            <a:gd name="adj" fmla="val 3643"/>
          </a:avLst>
        </a:prstGeom>
        <a:solidFill>
          <a:srgbClr val="B7560D"/>
        </a:solidFill>
        <a:ln>
          <a:noFill/>
        </a:ln>
        <a:scene3d>
          <a:camera prst="orthographicFront"/>
          <a:lightRig rig="threePt" dir="t"/>
        </a:scene3d>
        <a:sp3d>
          <a:bevelT w="114300" prst="artDeco"/>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142874</xdr:colOff>
      <xdr:row>25</xdr:row>
      <xdr:rowOff>161924</xdr:rowOff>
    </xdr:from>
    <xdr:to>
      <xdr:col>29</xdr:col>
      <xdr:colOff>76199</xdr:colOff>
      <xdr:row>37</xdr:row>
      <xdr:rowOff>152399</xdr:rowOff>
    </xdr:to>
    <xdr:graphicFrame macro="">
      <xdr:nvGraphicFramePr>
        <xdr:cNvPr id="62" name="Chart 61">
          <a:extLst>
            <a:ext uri="{FF2B5EF4-FFF2-40B4-BE49-F238E27FC236}">
              <a16:creationId xmlns:a16="http://schemas.microsoft.com/office/drawing/2014/main" id="{C79F502A-5F82-4535-B8AA-7AE720302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23</xdr:row>
      <xdr:rowOff>133350</xdr:rowOff>
    </xdr:from>
    <xdr:to>
      <xdr:col>28</xdr:col>
      <xdr:colOff>447675</xdr:colOff>
      <xdr:row>25</xdr:row>
      <xdr:rowOff>19050</xdr:rowOff>
    </xdr:to>
    <xdr:sp macro="" textlink="">
      <xdr:nvSpPr>
        <xdr:cNvPr id="64" name="TextBox 63">
          <a:extLst>
            <a:ext uri="{FF2B5EF4-FFF2-40B4-BE49-F238E27FC236}">
              <a16:creationId xmlns:a16="http://schemas.microsoft.com/office/drawing/2014/main" id="{048643BF-ED2D-4969-3F30-7B2B4F773805}"/>
            </a:ext>
          </a:extLst>
        </xdr:cNvPr>
        <xdr:cNvSpPr txBox="1"/>
      </xdr:nvSpPr>
      <xdr:spPr>
        <a:xfrm>
          <a:off x="15240000" y="4514850"/>
          <a:ext cx="2276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JOB</a:t>
          </a:r>
          <a:r>
            <a:rPr lang="en-US" sz="1600" b="1" baseline="0"/>
            <a:t> ROLE</a:t>
          </a:r>
          <a:endParaRPr lang="en-US" sz="1600" b="1"/>
        </a:p>
      </xdr:txBody>
    </xdr:sp>
    <xdr:clientData/>
  </xdr:twoCellAnchor>
  <xdr:twoCellAnchor>
    <xdr:from>
      <xdr:col>16</xdr:col>
      <xdr:colOff>381001</xdr:colOff>
      <xdr:row>12</xdr:row>
      <xdr:rowOff>152400</xdr:rowOff>
    </xdr:from>
    <xdr:to>
      <xdr:col>18</xdr:col>
      <xdr:colOff>466724</xdr:colOff>
      <xdr:row>20</xdr:row>
      <xdr:rowOff>142875</xdr:rowOff>
    </xdr:to>
    <xdr:graphicFrame macro="">
      <xdr:nvGraphicFramePr>
        <xdr:cNvPr id="65" name="Chart 64">
          <a:extLst>
            <a:ext uri="{FF2B5EF4-FFF2-40B4-BE49-F238E27FC236}">
              <a16:creationId xmlns:a16="http://schemas.microsoft.com/office/drawing/2014/main" id="{EA192C88-720A-4024-89C7-2B79D2C01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57150</xdr:colOff>
      <xdr:row>19</xdr:row>
      <xdr:rowOff>171450</xdr:rowOff>
    </xdr:from>
    <xdr:to>
      <xdr:col>18</xdr:col>
      <xdr:colOff>180975</xdr:colOff>
      <xdr:row>21</xdr:row>
      <xdr:rowOff>171450</xdr:rowOff>
    </xdr:to>
    <xdr:sp macro="" textlink="">
      <xdr:nvSpPr>
        <xdr:cNvPr id="67" name="TextBox 66">
          <a:extLst>
            <a:ext uri="{FF2B5EF4-FFF2-40B4-BE49-F238E27FC236}">
              <a16:creationId xmlns:a16="http://schemas.microsoft.com/office/drawing/2014/main" id="{72F3F4B9-4F93-E3F0-7783-376692E257DC}"/>
            </a:ext>
          </a:extLst>
        </xdr:cNvPr>
        <xdr:cNvSpPr txBox="1"/>
      </xdr:nvSpPr>
      <xdr:spPr>
        <a:xfrm>
          <a:off x="10420350" y="3790950"/>
          <a:ext cx="7334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HIGH</a:t>
          </a:r>
        </a:p>
      </xdr:txBody>
    </xdr:sp>
    <xdr:clientData/>
  </xdr:twoCellAnchor>
  <xdr:twoCellAnchor>
    <xdr:from>
      <xdr:col>17</xdr:col>
      <xdr:colOff>152401</xdr:colOff>
      <xdr:row>15</xdr:row>
      <xdr:rowOff>114300</xdr:rowOff>
    </xdr:from>
    <xdr:to>
      <xdr:col>18</xdr:col>
      <xdr:colOff>133351</xdr:colOff>
      <xdr:row>17</xdr:row>
      <xdr:rowOff>38100</xdr:rowOff>
    </xdr:to>
    <xdr:sp macro="" textlink="">
      <xdr:nvSpPr>
        <xdr:cNvPr id="68" name="TextBox 67">
          <a:extLst>
            <a:ext uri="{FF2B5EF4-FFF2-40B4-BE49-F238E27FC236}">
              <a16:creationId xmlns:a16="http://schemas.microsoft.com/office/drawing/2014/main" id="{573C3EBB-AA80-EFB3-FE58-9258B9EF47CE}"/>
            </a:ext>
          </a:extLst>
        </xdr:cNvPr>
        <xdr:cNvSpPr txBox="1"/>
      </xdr:nvSpPr>
      <xdr:spPr>
        <a:xfrm>
          <a:off x="10515601" y="2971800"/>
          <a:ext cx="590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320</a:t>
          </a:r>
        </a:p>
      </xdr:txBody>
    </xdr:sp>
    <xdr:clientData/>
  </xdr:twoCellAnchor>
  <xdr:twoCellAnchor>
    <xdr:from>
      <xdr:col>18</xdr:col>
      <xdr:colOff>476250</xdr:colOff>
      <xdr:row>13</xdr:row>
      <xdr:rowOff>114299</xdr:rowOff>
    </xdr:from>
    <xdr:to>
      <xdr:col>21</xdr:col>
      <xdr:colOff>523875</xdr:colOff>
      <xdr:row>20</xdr:row>
      <xdr:rowOff>95250</xdr:rowOff>
    </xdr:to>
    <xdr:graphicFrame macro="">
      <xdr:nvGraphicFramePr>
        <xdr:cNvPr id="69" name="Chart 68">
          <a:extLst>
            <a:ext uri="{FF2B5EF4-FFF2-40B4-BE49-F238E27FC236}">
              <a16:creationId xmlns:a16="http://schemas.microsoft.com/office/drawing/2014/main" id="{55A4A705-18BB-4937-B462-96CDBD8C5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476250</xdr:colOff>
      <xdr:row>19</xdr:row>
      <xdr:rowOff>171450</xdr:rowOff>
    </xdr:from>
    <xdr:to>
      <xdr:col>20</xdr:col>
      <xdr:colOff>600075</xdr:colOff>
      <xdr:row>21</xdr:row>
      <xdr:rowOff>171450</xdr:rowOff>
    </xdr:to>
    <xdr:sp macro="" textlink="">
      <xdr:nvSpPr>
        <xdr:cNvPr id="70" name="TextBox 69">
          <a:extLst>
            <a:ext uri="{FF2B5EF4-FFF2-40B4-BE49-F238E27FC236}">
              <a16:creationId xmlns:a16="http://schemas.microsoft.com/office/drawing/2014/main" id="{07053AD0-3B2E-57D8-1AA6-90AC8FF90688}"/>
            </a:ext>
          </a:extLst>
        </xdr:cNvPr>
        <xdr:cNvSpPr txBox="1"/>
      </xdr:nvSpPr>
      <xdr:spPr>
        <a:xfrm>
          <a:off x="12058650" y="3790950"/>
          <a:ext cx="7334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LOW</a:t>
          </a:r>
        </a:p>
      </xdr:txBody>
    </xdr:sp>
    <xdr:clientData/>
  </xdr:twoCellAnchor>
  <xdr:twoCellAnchor>
    <xdr:from>
      <xdr:col>19</xdr:col>
      <xdr:colOff>504825</xdr:colOff>
      <xdr:row>15</xdr:row>
      <xdr:rowOff>180975</xdr:rowOff>
    </xdr:from>
    <xdr:to>
      <xdr:col>20</xdr:col>
      <xdr:colOff>457200</xdr:colOff>
      <xdr:row>17</xdr:row>
      <xdr:rowOff>180975</xdr:rowOff>
    </xdr:to>
    <xdr:sp macro="" textlink="">
      <xdr:nvSpPr>
        <xdr:cNvPr id="71" name="TextBox 70">
          <a:extLst>
            <a:ext uri="{FF2B5EF4-FFF2-40B4-BE49-F238E27FC236}">
              <a16:creationId xmlns:a16="http://schemas.microsoft.com/office/drawing/2014/main" id="{5243FA34-4C53-3E90-62C9-1E61DA66EFE9}"/>
            </a:ext>
          </a:extLst>
        </xdr:cNvPr>
        <xdr:cNvSpPr txBox="1"/>
      </xdr:nvSpPr>
      <xdr:spPr>
        <a:xfrm>
          <a:off x="12087225" y="3038475"/>
          <a:ext cx="561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293</a:t>
          </a:r>
        </a:p>
      </xdr:txBody>
    </xdr:sp>
    <xdr:clientData/>
  </xdr:twoCellAnchor>
  <xdr:twoCellAnchor>
    <xdr:from>
      <xdr:col>21</xdr:col>
      <xdr:colOff>581025</xdr:colOff>
      <xdr:row>14</xdr:row>
      <xdr:rowOff>104776</xdr:rowOff>
    </xdr:from>
    <xdr:to>
      <xdr:col>24</xdr:col>
      <xdr:colOff>66675</xdr:colOff>
      <xdr:row>20</xdr:row>
      <xdr:rowOff>47626</xdr:rowOff>
    </xdr:to>
    <xdr:graphicFrame macro="">
      <xdr:nvGraphicFramePr>
        <xdr:cNvPr id="72" name="Chart 71">
          <a:extLst>
            <a:ext uri="{FF2B5EF4-FFF2-40B4-BE49-F238E27FC236}">
              <a16:creationId xmlns:a16="http://schemas.microsoft.com/office/drawing/2014/main" id="{9E0F69E2-8C7B-459A-B025-033043A02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314324</xdr:colOff>
      <xdr:row>19</xdr:row>
      <xdr:rowOff>161925</xdr:rowOff>
    </xdr:from>
    <xdr:to>
      <xdr:col>24</xdr:col>
      <xdr:colOff>504825</xdr:colOff>
      <xdr:row>21</xdr:row>
      <xdr:rowOff>161925</xdr:rowOff>
    </xdr:to>
    <xdr:sp macro="" textlink="">
      <xdr:nvSpPr>
        <xdr:cNvPr id="73" name="TextBox 72">
          <a:extLst>
            <a:ext uri="{FF2B5EF4-FFF2-40B4-BE49-F238E27FC236}">
              <a16:creationId xmlns:a16="http://schemas.microsoft.com/office/drawing/2014/main" id="{BDD44D38-4E4A-98F2-D2F9-4A92D572673F}"/>
            </a:ext>
          </a:extLst>
        </xdr:cNvPr>
        <xdr:cNvSpPr txBox="1"/>
      </xdr:nvSpPr>
      <xdr:spPr>
        <a:xfrm>
          <a:off x="13725524" y="3781425"/>
          <a:ext cx="14097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VERY</a:t>
          </a:r>
          <a:r>
            <a:rPr lang="en-US" sz="1800" b="1" baseline="0">
              <a:solidFill>
                <a:schemeClr val="bg1">
                  <a:lumMod val="85000"/>
                </a:schemeClr>
              </a:solidFill>
            </a:rPr>
            <a:t> HIGH</a:t>
          </a:r>
          <a:endParaRPr lang="en-US" sz="1800" b="1">
            <a:solidFill>
              <a:schemeClr val="bg1">
                <a:lumMod val="85000"/>
              </a:schemeClr>
            </a:solidFill>
          </a:endParaRPr>
        </a:p>
      </xdr:txBody>
    </xdr:sp>
    <xdr:clientData/>
  </xdr:twoCellAnchor>
  <xdr:twoCellAnchor>
    <xdr:from>
      <xdr:col>25</xdr:col>
      <xdr:colOff>152398</xdr:colOff>
      <xdr:row>19</xdr:row>
      <xdr:rowOff>152400</xdr:rowOff>
    </xdr:from>
    <xdr:to>
      <xdr:col>27</xdr:col>
      <xdr:colOff>342899</xdr:colOff>
      <xdr:row>21</xdr:row>
      <xdr:rowOff>152400</xdr:rowOff>
    </xdr:to>
    <xdr:sp macro="" textlink="">
      <xdr:nvSpPr>
        <xdr:cNvPr id="74" name="TextBox 73">
          <a:extLst>
            <a:ext uri="{FF2B5EF4-FFF2-40B4-BE49-F238E27FC236}">
              <a16:creationId xmlns:a16="http://schemas.microsoft.com/office/drawing/2014/main" id="{5941B8EB-9CA9-671E-DB90-25817B07B147}"/>
            </a:ext>
          </a:extLst>
        </xdr:cNvPr>
        <xdr:cNvSpPr txBox="1"/>
      </xdr:nvSpPr>
      <xdr:spPr>
        <a:xfrm>
          <a:off x="15392398" y="3771900"/>
          <a:ext cx="14097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VERY</a:t>
          </a:r>
          <a:r>
            <a:rPr lang="en-US" sz="1800" b="1" baseline="0">
              <a:solidFill>
                <a:schemeClr val="bg1">
                  <a:lumMod val="85000"/>
                </a:schemeClr>
              </a:solidFill>
            </a:rPr>
            <a:t> LOW</a:t>
          </a:r>
          <a:endParaRPr lang="en-US" sz="1800" b="1">
            <a:solidFill>
              <a:schemeClr val="bg1">
                <a:lumMod val="85000"/>
              </a:schemeClr>
            </a:solidFill>
          </a:endParaRPr>
        </a:p>
      </xdr:txBody>
    </xdr:sp>
    <xdr:clientData/>
  </xdr:twoCellAnchor>
  <xdr:twoCellAnchor>
    <xdr:from>
      <xdr:col>22</xdr:col>
      <xdr:colOff>304800</xdr:colOff>
      <xdr:row>16</xdr:row>
      <xdr:rowOff>66675</xdr:rowOff>
    </xdr:from>
    <xdr:to>
      <xdr:col>23</xdr:col>
      <xdr:colOff>257175</xdr:colOff>
      <xdr:row>18</xdr:row>
      <xdr:rowOff>66675</xdr:rowOff>
    </xdr:to>
    <xdr:sp macro="" textlink="">
      <xdr:nvSpPr>
        <xdr:cNvPr id="75" name="TextBox 74">
          <a:extLst>
            <a:ext uri="{FF2B5EF4-FFF2-40B4-BE49-F238E27FC236}">
              <a16:creationId xmlns:a16="http://schemas.microsoft.com/office/drawing/2014/main" id="{B6C635C4-0C1C-8C99-C035-5B126A889CAE}"/>
            </a:ext>
          </a:extLst>
        </xdr:cNvPr>
        <xdr:cNvSpPr txBox="1"/>
      </xdr:nvSpPr>
      <xdr:spPr>
        <a:xfrm>
          <a:off x="13716000" y="3114675"/>
          <a:ext cx="561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119</a:t>
          </a:r>
        </a:p>
      </xdr:txBody>
    </xdr:sp>
    <xdr:clientData/>
  </xdr:twoCellAnchor>
  <xdr:twoCellAnchor>
    <xdr:from>
      <xdr:col>24</xdr:col>
      <xdr:colOff>247650</xdr:colOff>
      <xdr:row>14</xdr:row>
      <xdr:rowOff>161925</xdr:rowOff>
    </xdr:from>
    <xdr:to>
      <xdr:col>27</xdr:col>
      <xdr:colOff>600075</xdr:colOff>
      <xdr:row>21</xdr:row>
      <xdr:rowOff>104774</xdr:rowOff>
    </xdr:to>
    <xdr:graphicFrame macro="">
      <xdr:nvGraphicFramePr>
        <xdr:cNvPr id="76" name="Chart 75">
          <a:extLst>
            <a:ext uri="{FF2B5EF4-FFF2-40B4-BE49-F238E27FC236}">
              <a16:creationId xmlns:a16="http://schemas.microsoft.com/office/drawing/2014/main" id="{A66E7879-081F-454B-8053-9A859562B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514350</xdr:colOff>
      <xdr:row>16</xdr:row>
      <xdr:rowOff>152400</xdr:rowOff>
    </xdr:from>
    <xdr:to>
      <xdr:col>26</xdr:col>
      <xdr:colOff>466725</xdr:colOff>
      <xdr:row>18</xdr:row>
      <xdr:rowOff>152400</xdr:rowOff>
    </xdr:to>
    <xdr:sp macro="" textlink="">
      <xdr:nvSpPr>
        <xdr:cNvPr id="77" name="TextBox 76">
          <a:extLst>
            <a:ext uri="{FF2B5EF4-FFF2-40B4-BE49-F238E27FC236}">
              <a16:creationId xmlns:a16="http://schemas.microsoft.com/office/drawing/2014/main" id="{7920A259-3892-34E0-47BA-347A24EE50E8}"/>
            </a:ext>
          </a:extLst>
        </xdr:cNvPr>
        <xdr:cNvSpPr txBox="1"/>
      </xdr:nvSpPr>
      <xdr:spPr>
        <a:xfrm>
          <a:off x="15754350" y="3200400"/>
          <a:ext cx="561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48</a:t>
          </a:r>
        </a:p>
      </xdr:txBody>
    </xdr:sp>
    <xdr:clientData/>
  </xdr:twoCellAnchor>
  <xdr:twoCellAnchor>
    <xdr:from>
      <xdr:col>21</xdr:col>
      <xdr:colOff>209550</xdr:colOff>
      <xdr:row>9</xdr:row>
      <xdr:rowOff>19050</xdr:rowOff>
    </xdr:from>
    <xdr:to>
      <xdr:col>25</xdr:col>
      <xdr:colOff>371476</xdr:colOff>
      <xdr:row>10</xdr:row>
      <xdr:rowOff>95250</xdr:rowOff>
    </xdr:to>
    <xdr:sp macro="" textlink="">
      <xdr:nvSpPr>
        <xdr:cNvPr id="78" name="TextBox 77">
          <a:extLst>
            <a:ext uri="{FF2B5EF4-FFF2-40B4-BE49-F238E27FC236}">
              <a16:creationId xmlns:a16="http://schemas.microsoft.com/office/drawing/2014/main" id="{34B9CC02-8778-1EA9-3F75-F379EAAAE76C}"/>
            </a:ext>
          </a:extLst>
        </xdr:cNvPr>
        <xdr:cNvSpPr txBox="1"/>
      </xdr:nvSpPr>
      <xdr:spPr>
        <a:xfrm>
          <a:off x="13011150" y="1733550"/>
          <a:ext cx="26003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ATTRITION BY SALARY</a:t>
          </a:r>
        </a:p>
      </xdr:txBody>
    </xdr:sp>
    <xdr:clientData/>
  </xdr:twoCellAnchor>
  <xdr:twoCellAnchor editAs="oneCell">
    <xdr:from>
      <xdr:col>0</xdr:col>
      <xdr:colOff>0</xdr:colOff>
      <xdr:row>12</xdr:row>
      <xdr:rowOff>161925</xdr:rowOff>
    </xdr:from>
    <xdr:to>
      <xdr:col>4</xdr:col>
      <xdr:colOff>266700</xdr:colOff>
      <xdr:row>24</xdr:row>
      <xdr:rowOff>9525</xdr:rowOff>
    </xdr:to>
    <mc:AlternateContent xmlns:mc="http://schemas.openxmlformats.org/markup-compatibility/2006" xmlns:a14="http://schemas.microsoft.com/office/drawing/2010/main">
      <mc:Choice Requires="a14">
        <xdr:graphicFrame macro="">
          <xdr:nvGraphicFramePr>
            <xdr:cNvPr id="79" name="Department">
              <a:extLst>
                <a:ext uri="{FF2B5EF4-FFF2-40B4-BE49-F238E27FC236}">
                  <a16:creationId xmlns:a16="http://schemas.microsoft.com/office/drawing/2014/main" id="{E96CE099-7132-4816-A307-F9D160B26A9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447925"/>
              <a:ext cx="270510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xdr:row>
      <xdr:rowOff>66674</xdr:rowOff>
    </xdr:from>
    <xdr:to>
      <xdr:col>4</xdr:col>
      <xdr:colOff>276225</xdr:colOff>
      <xdr:row>12</xdr:row>
      <xdr:rowOff>171449</xdr:rowOff>
    </xdr:to>
    <mc:AlternateContent xmlns:mc="http://schemas.openxmlformats.org/markup-compatibility/2006" xmlns:a14="http://schemas.microsoft.com/office/drawing/2010/main">
      <mc:Choice Requires="a14">
        <xdr:graphicFrame macro="">
          <xdr:nvGraphicFramePr>
            <xdr:cNvPr id="80" name="Performance Rating">
              <a:extLst>
                <a:ext uri="{FF2B5EF4-FFF2-40B4-BE49-F238E27FC236}">
                  <a16:creationId xmlns:a16="http://schemas.microsoft.com/office/drawing/2014/main" id="{7249D7CB-5D5D-4978-B5AD-B15C57D23171}"/>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28575" y="638174"/>
              <a:ext cx="268605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0</xdr:rowOff>
    </xdr:from>
    <xdr:to>
      <xdr:col>4</xdr:col>
      <xdr:colOff>257175</xdr:colOff>
      <xdr:row>29</xdr:row>
      <xdr:rowOff>57150</xdr:rowOff>
    </xdr:to>
    <mc:AlternateContent xmlns:mc="http://schemas.openxmlformats.org/markup-compatibility/2006" xmlns:a14="http://schemas.microsoft.com/office/drawing/2010/main">
      <mc:Choice Requires="a14">
        <xdr:graphicFrame macro="">
          <xdr:nvGraphicFramePr>
            <xdr:cNvPr id="81" name="Gender">
              <a:extLst>
                <a:ext uri="{FF2B5EF4-FFF2-40B4-BE49-F238E27FC236}">
                  <a16:creationId xmlns:a16="http://schemas.microsoft.com/office/drawing/2014/main" id="{35A2A916-0402-42CB-BD68-29FB8D712D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572000"/>
              <a:ext cx="269557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123825</xdr:rowOff>
    </xdr:from>
    <xdr:to>
      <xdr:col>4</xdr:col>
      <xdr:colOff>238124</xdr:colOff>
      <xdr:row>38</xdr:row>
      <xdr:rowOff>76200</xdr:rowOff>
    </xdr:to>
    <mc:AlternateContent xmlns:mc="http://schemas.openxmlformats.org/markup-compatibility/2006" xmlns:a14="http://schemas.microsoft.com/office/drawing/2010/main">
      <mc:Choice Requires="a14">
        <xdr:graphicFrame macro="">
          <xdr:nvGraphicFramePr>
            <xdr:cNvPr id="82" name="Age Group">
              <a:extLst>
                <a:ext uri="{FF2B5EF4-FFF2-40B4-BE49-F238E27FC236}">
                  <a16:creationId xmlns:a16="http://schemas.microsoft.com/office/drawing/2014/main" id="{F1A155D4-D889-41F6-9F52-6BF79472E04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5457825"/>
              <a:ext cx="2676524"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0</xdr:row>
      <xdr:rowOff>184337</xdr:rowOff>
    </xdr:from>
    <xdr:to>
      <xdr:col>10</xdr:col>
      <xdr:colOff>485775</xdr:colOff>
      <xdr:row>2</xdr:row>
      <xdr:rowOff>179856</xdr:rowOff>
    </xdr:to>
    <xdr:pic>
      <xdr:nvPicPr>
        <xdr:cNvPr id="86" name="Picture 85">
          <a:extLst>
            <a:ext uri="{FF2B5EF4-FFF2-40B4-BE49-F238E27FC236}">
              <a16:creationId xmlns:a16="http://schemas.microsoft.com/office/drawing/2014/main" id="{89F64E29-2EB4-2578-D63B-B18873A190E6}"/>
            </a:ext>
          </a:extLst>
        </xdr:cNvPr>
        <xdr:cNvPicPr>
          <a:picLocks noChangeAspect="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tretch>
          <a:fillRect/>
        </a:stretch>
      </xdr:blipFill>
      <xdr:spPr>
        <a:xfrm>
          <a:off x="5638800" y="184337"/>
          <a:ext cx="942975" cy="376519"/>
        </a:xfrm>
        <a:prstGeom prst="rect">
          <a:avLst/>
        </a:prstGeom>
        <a:ln>
          <a:noFill/>
        </a:ln>
      </xdr:spPr>
    </xdr:pic>
    <xdr:clientData/>
  </xdr:twoCellAnchor>
  <xdr:twoCellAnchor>
    <xdr:from>
      <xdr:col>26</xdr:col>
      <xdr:colOff>9525</xdr:colOff>
      <xdr:row>4</xdr:row>
      <xdr:rowOff>28576</xdr:rowOff>
    </xdr:from>
    <xdr:to>
      <xdr:col>27</xdr:col>
      <xdr:colOff>57151</xdr:colOff>
      <xdr:row>7</xdr:row>
      <xdr:rowOff>66676</xdr:rowOff>
    </xdr:to>
    <xdr:sp macro="" textlink="">
      <xdr:nvSpPr>
        <xdr:cNvPr id="83" name="TextBox 82">
          <a:extLst>
            <a:ext uri="{FF2B5EF4-FFF2-40B4-BE49-F238E27FC236}">
              <a16:creationId xmlns:a16="http://schemas.microsoft.com/office/drawing/2014/main" id="{E55BE0F6-BC76-4415-B2D5-219AE0EB79AD}"/>
            </a:ext>
          </a:extLst>
        </xdr:cNvPr>
        <xdr:cNvSpPr txBox="1"/>
      </xdr:nvSpPr>
      <xdr:spPr>
        <a:xfrm>
          <a:off x="15744825" y="790576"/>
          <a:ext cx="657226"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NO</a:t>
          </a:r>
        </a:p>
        <a:p>
          <a:pPr algn="ctr"/>
          <a:r>
            <a:rPr lang="en-US" sz="1400" b="1">
              <a:solidFill>
                <a:schemeClr val="bg1"/>
              </a:solidFill>
            </a:rPr>
            <a:t>STAFF</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2384262" backgroundQuery="1" createdVersion="8" refreshedVersion="8" minRefreshableVersion="3" recordCount="0" supportSubquery="1" supportAdvancedDrill="1" xr:uid="{206F1212-1DE5-41C3-8CC7-DDD5182E185F}">
  <cacheSource type="external" connectionId="7"/>
  <cacheFields count="3">
    <cacheField name="[Measures].[Count of Attrition]" caption="Count of Attrition" numFmtId="0" hierarchy="40" level="32767"/>
    <cacheField name="[Salary_range].[Salary Range].[Salary Range]" caption="Salary Range" numFmtId="0" hierarchy="15" level="1">
      <sharedItems count="4">
        <s v="High"/>
        <s v="Low"/>
        <s v="Very High"/>
        <s v="Very Low"/>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2" memberValueDatatype="130" unbalanced="0">
      <fieldsUsage count="2">
        <fieldUsage x="-1"/>
        <fieldUsage x="1"/>
      </fieldsUsage>
    </cacheHierarchy>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2962962" backgroundQuery="1" createdVersion="8" refreshedVersion="8" minRefreshableVersion="3" recordCount="0" supportSubquery="1" supportAdvancedDrill="1" xr:uid="{E3C32AB3-3CD1-4B11-9B90-6E0C2B793656}">
  <cacheSource type="external" connectionId="7"/>
  <cacheFields count="2">
    <cacheField name="[Measures].[Total Staff]" caption="Total Staff" numFmtId="0" hierarchy="20"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oneField="1">
      <fieldsUsage count="1">
        <fieldUsage x="0"/>
      </fieldsUsage>
    </cacheHierarchy>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3425924" backgroundQuery="1" createdVersion="8" refreshedVersion="8" minRefreshableVersion="3" recordCount="0" supportSubquery="1" supportAdvancedDrill="1" xr:uid="{C1CF41FD-5748-48F6-A67A-E0496A742CE0}">
  <cacheSource type="external" connectionId="7"/>
  <cacheFields count="2">
    <cacheField name="[Measures].[Average Satisfaction Score]" caption="Average Satisfaction Score" numFmtId="0" hierarchy="28"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oneField="1">
      <fieldsUsage count="1">
        <fieldUsage x="0"/>
      </fieldsUsage>
    </cacheHierarchy>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3888886" backgroundQuery="1" createdVersion="8" refreshedVersion="8" minRefreshableVersion="3" recordCount="0" supportSubquery="1" supportAdvancedDrill="1" xr:uid="{5BD03DD4-CC3A-4F3E-ACEE-50F96038BE05}">
  <cacheSource type="external" connectionId="7"/>
  <cacheFields count="3">
    <cacheField name="[Measures].[Count of Attrition]" caption="Count of Attrition" numFmtId="0" hierarchy="40" level="32767"/>
    <cacheField name="[Cleaned_Data_sheet].[Gender].[Gender]" caption="Gender" numFmtId="0" hierarchy="4" level="1">
      <sharedItems count="2">
        <s v="Female"/>
        <s v="Male"/>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fieldsUsage count="2">
        <fieldUsage x="-1"/>
        <fieldUsage x="1"/>
      </fieldsUsage>
    </cacheHierarchy>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4236109" backgroundQuery="1" createdVersion="8" refreshedVersion="8" minRefreshableVersion="3" recordCount="0" supportSubquery="1" supportAdvancedDrill="1" xr:uid="{D8254C3A-438B-4644-82A8-A3CB3B2B479F}">
  <cacheSource type="external" connectionId="7"/>
  <cacheFields count="2">
    <cacheField name="[Measures].[Count of Attrition]" caption="Count of Attrition" numFmtId="0" hierarchy="40" level="32767"/>
    <cacheField name="[Age_range].[Age Group].[Age Group]" caption="Age Group" numFmtId="0" hierarchy="1" level="1">
      <sharedItems count="5">
        <s v="26-30years"/>
        <s v="31-35years"/>
        <s v="36-40years"/>
        <s v="41-45years"/>
        <s v="46-50years"/>
      </sharedItems>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4814817" backgroundQuery="1" createdVersion="8" refreshedVersion="8" minRefreshableVersion="3" recordCount="0" supportSubquery="1" supportAdvancedDrill="1" xr:uid="{462DF515-2252-4644-83A4-0456F81A7C3B}">
  <cacheSource type="external" connectionId="7"/>
  <cacheFields count="3">
    <cacheField name="[Measures].[Count of Attrition]" caption="Count of Attrition" numFmtId="0" hierarchy="40" level="32767"/>
    <cacheField name="[satisfaction_Score].[Satisfaction Range].[Satisfaction Range]" caption="Satisfaction Range" numFmtId="0" hierarchy="17" level="1">
      <sharedItems count="5">
        <s v="Dissatisfied"/>
        <s v="Neutral"/>
        <s v="Satisfied"/>
        <s v="Very Dissatisfied"/>
        <s v="Very Satisfied"/>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2" memberValueDatatype="130" unbalanced="0">
      <fieldsUsage count="2">
        <fieldUsage x="-1"/>
        <fieldUsage x="1"/>
      </fieldsUsage>
    </cacheHierarchy>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5509256" backgroundQuery="1" createdVersion="8" refreshedVersion="8" minRefreshableVersion="3" recordCount="0" supportSubquery="1" supportAdvancedDrill="1" xr:uid="{0E4CC9EF-69FB-4EE9-9482-7C0DDD137E9F}">
  <cacheSource type="external" connectionId="7"/>
  <cacheFields count="3">
    <cacheField name="[Measures].[Count of Attrition]" caption="Count of Attrition" numFmtId="0" hierarchy="40" level="32767"/>
    <cacheField name="[performance_rating].[Performance Rate].[Performance Rate]" caption="Performance Rate" numFmtId="0" hierarchy="13" level="1">
      <sharedItems count="5">
        <s v="Exceeds Expectation"/>
        <s v="Meets Expectation"/>
        <s v="Need Improvement"/>
        <s v="Outsanding"/>
        <s v="Unsatisfactory"/>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2" memberValueDatatype="130" unbalanced="0">
      <fieldsUsage count="2">
        <fieldUsage x="-1"/>
        <fieldUsage x="1"/>
      </fieldsUsage>
    </cacheHierarchy>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6087964" backgroundQuery="1" createdVersion="8" refreshedVersion="8" minRefreshableVersion="3" recordCount="0" supportSubquery="1" supportAdvancedDrill="1" xr:uid="{EEE076EE-ABFA-48B2-9403-49BD7BB57CFE}">
  <cacheSource type="external" connectionId="7"/>
  <cacheFields count="3">
    <cacheField name="[Measures].[Count of Attrition]" caption="Count of Attrition" numFmtId="0" hierarchy="40" level="32767"/>
    <cacheField name="[Cleaned_Data_sheet].[Department].[Department]" caption="Department" numFmtId="0" hierarchy="5" level="1">
      <sharedItems count="6">
        <s v="Engineering"/>
        <s v="Finance"/>
        <s v="HR"/>
        <s v="IT"/>
        <s v="Marketing"/>
        <s v="Sales"/>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fieldsUsage count="2">
        <fieldUsage x="-1"/>
        <fieldUsage x="1"/>
      </fieldsUsage>
    </cacheHierarchy>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6782411" backgroundQuery="1" createdVersion="8" refreshedVersion="8" minRefreshableVersion="3" recordCount="0" supportSubquery="1" supportAdvancedDrill="1" xr:uid="{888C08C2-51A1-4B86-9019-44A3E3DE21A6}">
  <cacheSource type="external" connectionId="7"/>
  <cacheFields count="3">
    <cacheField name="[Measures].[Count of Attrition]" caption="Count of Attrition" numFmtId="0" hierarchy="40" level="32767"/>
    <cacheField name="[Cleaned_Data_sheet].[Job Role].[Job Role]" caption="Job Role" numFmtId="0" hierarchy="6" level="1">
      <sharedItems count="6">
        <s v=" Accountant"/>
        <s v=" Analyst"/>
        <s v=" Engineer"/>
        <s v=" Manager"/>
        <s v=" Sales Rep"/>
        <s v=" Specialist"/>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2" memberValueDatatype="130" unbalanced="0">
      <fieldsUsage count="2">
        <fieldUsage x="-1"/>
        <fieldUsage x="1"/>
      </fieldsUsage>
    </cacheHierarchy>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7361111" backgroundQuery="1" createdVersion="8" refreshedVersion="8" minRefreshableVersion="3" recordCount="0" supportSubquery="1" supportAdvancedDrill="1" xr:uid="{A7A038B7-48D9-4D76-B864-6A21758282EF}">
  <cacheSource type="external" connectionId="7"/>
  <cacheFields count="3">
    <cacheField name="[Measures].[Count of Attrition]" caption="Count of Attrition" numFmtId="0" hierarchy="40" level="32767"/>
    <cacheField name="[Year_of_Service].[Service Year Bucket].[Service Year Bucket]" caption="Service Year Bucket" numFmtId="0" hierarchy="19" level="1">
      <sharedItems count="4">
        <s v="Developing"/>
        <s v="Early"/>
        <s v="Experienced"/>
        <s v="Veteran"/>
      </sharedItems>
    </cacheField>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2" memberValueDatatype="130" unbalanced="0">
      <fieldsUsage count="2">
        <fieldUsage x="-1"/>
        <fieldUsage x="1"/>
      </fieldsUsage>
    </cacheHierarchy>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7592596" backgroundQuery="1" createdVersion="8" refreshedVersion="8" minRefreshableVersion="3" recordCount="0" supportSubquery="1" supportAdvancedDrill="1" xr:uid="{BF7FB668-F44B-4DF4-8A10-F7967CFE934A}">
  <cacheSource type="external" connectionId="7"/>
  <cacheFields count="2">
    <cacheField name="[Measures].[Maximun Salary]" caption="Maximun Salary" numFmtId="0" hierarchy="29"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oneField="1">
      <fieldsUsage count="1">
        <fieldUsage x="0"/>
      </fieldsUsage>
    </cacheHierarchy>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8055558" backgroundQuery="1" createdVersion="8" refreshedVersion="8" minRefreshableVersion="3" recordCount="0" supportSubquery="1" supportAdvancedDrill="1" xr:uid="{35AFC8A5-F99A-4B4D-B17C-2C2F52D4DD0C}">
  <cacheSource type="external" connectionId="7"/>
  <cacheFields count="2">
    <cacheField name="[Measures].[Minimum Salary]" caption="Minimum Salary" numFmtId="0" hierarchy="30"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oneField="1">
      <fieldsUsage count="1">
        <fieldUsage x="0"/>
      </fieldsUsage>
    </cacheHierarchy>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8634258" backgroundQuery="1" createdVersion="8" refreshedVersion="8" minRefreshableVersion="3" recordCount="0" supportSubquery="1" supportAdvancedDrill="1" xr:uid="{ADC7DB18-3097-447D-BF23-520BA5F8962A}">
  <cacheSource type="external" connectionId="7"/>
  <cacheFields count="2">
    <cacheField name="[Measures].[High Performers]" caption="High Performers" numFmtId="0" hierarchy="31"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oneField="1">
      <fieldsUsage count="1">
        <fieldUsage x="0"/>
      </fieldsUsage>
    </cacheHierarchy>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909722" backgroundQuery="1" createdVersion="8" refreshedVersion="8" minRefreshableVersion="3" recordCount="0" supportSubquery="1" supportAdvancedDrill="1" xr:uid="{8F6C03B1-00BF-437F-B530-DC7236BEE89F}">
  <cacheSource type="external" connectionId="7"/>
  <cacheFields count="2">
    <cacheField name="[Measures].[High Performers]" caption="High Performers" numFmtId="0" hierarchy="31"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oneField="1">
      <fieldsUsage count="1">
        <fieldUsage x="0"/>
      </fieldsUsage>
    </cacheHierarchy>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69675928" backgroundQuery="1" createdVersion="8" refreshedVersion="8" minRefreshableVersion="3" recordCount="0" supportSubquery="1" supportAdvancedDrill="1" xr:uid="{5493B7D6-CB08-4EA0-A78A-F0D288B8CE3D}">
  <cacheSource type="external" connectionId="7"/>
  <cacheFields count="2">
    <cacheField name="[Measures].[Distinct Count of Department]" caption="Distinct Count of Department" numFmtId="0" hierarchy="42"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0254629" backgroundQuery="1" createdVersion="8" refreshedVersion="8" minRefreshableVersion="3" recordCount="0" supportSubquery="1" supportAdvancedDrill="1" xr:uid="{EC5B7F62-09B5-4F4B-807A-985F8D691B64}">
  <cacheSource type="external" connectionId="7"/>
  <cacheFields count="2">
    <cacheField name="[Measures].[Distinct Count of Job Role]" caption="Distinct Count of Job Role" numFmtId="0" hierarchy="44"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071759" backgroundQuery="1" createdVersion="8" refreshedVersion="8" minRefreshableVersion="3" recordCount="0" supportSubquery="1" supportAdvancedDrill="1" xr:uid="{49CE0DDE-9D8E-49A9-BC5D-3D4D3F962CE9}">
  <cacheSource type="external" connectionId="7"/>
  <cacheFields count="2">
    <cacheField name="[Measures].[Yes Staff(No. of Employee who left)]" caption="Yes Staff(No. of Employee who left)" numFmtId="0" hierarchy="21"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oneField="1">
      <fieldsUsage count="1">
        <fieldUsage x="0"/>
      </fieldsUsage>
    </cacheHierarchy>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0949075" backgroundQuery="1" createdVersion="8" refreshedVersion="8" minRefreshableVersion="3" recordCount="0" supportSubquery="1" supportAdvancedDrill="1" xr:uid="{A933DBEA-A8D2-4ED0-A0C6-ABBD6A583BAE}">
  <cacheSource type="external" connectionId="7"/>
  <cacheFields count="2">
    <cacheField name="[Measures].[No staff(No. of Employees who are still there)]" caption="No staff(No. of Employees who are still there)" numFmtId="0" hierarchy="22"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oneField="1">
      <fieldsUsage count="1">
        <fieldUsage x="0"/>
      </fieldsUsage>
    </cacheHierarchy>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1180552" backgroundQuery="1" createdVersion="8" refreshedVersion="8" minRefreshableVersion="3" recordCount="0" supportSubquery="1" supportAdvancedDrill="1" xr:uid="{9FCC5E7A-3021-430C-8D80-089BAB94F60F}">
  <cacheSource type="external" connectionId="7"/>
  <cacheFields count="2">
    <cacheField name="[Measures].[Attrition Rate]" caption="Attrition Rate" numFmtId="0" hierarchy="23"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oneField="1">
      <fieldsUsage count="1">
        <fieldUsage x="0"/>
      </fieldsUsage>
    </cacheHierarchy>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1412037" backgroundQuery="1" createdVersion="8" refreshedVersion="8" minRefreshableVersion="3" recordCount="0" supportSubquery="1" supportAdvancedDrill="1" xr:uid="{0D079657-078F-4EDF-863D-4B4F9377FE87}">
  <cacheSource type="external" connectionId="7"/>
  <cacheFields count="2">
    <cacheField name="[Measures].[Average Age]" caption="Average Age" numFmtId="0" hierarchy="24"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oneField="1">
      <fieldsUsage count="1">
        <fieldUsage x="0"/>
      </fieldsUsage>
    </cacheHierarchy>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1643522" backgroundQuery="1" createdVersion="8" refreshedVersion="8" minRefreshableVersion="3" recordCount="0" supportSubquery="1" supportAdvancedDrill="1" xr:uid="{F8FE08BA-FDF1-4E7F-BC57-BEE45929CC8C}">
  <cacheSource type="external" connectionId="7"/>
  <cacheFields count="2">
    <cacheField name="[Measures].[Average Salary]" caption="Average Salary" numFmtId="0" hierarchy="25"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oneField="1">
      <fieldsUsage count="1">
        <fieldUsage x="0"/>
      </fieldsUsage>
    </cacheHierarchy>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1874999" backgroundQuery="1" createdVersion="8" refreshedVersion="8" minRefreshableVersion="3" recordCount="0" supportSubquery="1" supportAdvancedDrill="1" xr:uid="{86AF2277-7520-42D4-8776-889E872CE52A}">
  <cacheSource type="external" connectionId="7"/>
  <cacheFields count="2">
    <cacheField name="[Measures].[Average Year of Service]" caption="Average Year of Service" numFmtId="0" hierarchy="26"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oneField="1">
      <fieldsUsage count="1">
        <fieldUsage x="0"/>
      </fieldsUsage>
    </cacheHierarchy>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2106483" backgroundQuery="1" createdVersion="8" refreshedVersion="8" minRefreshableVersion="3" recordCount="0" supportSubquery="1" supportAdvancedDrill="1" xr:uid="{598FC9AE-F88C-47A7-9F0A-3512E8B9D5F3}">
  <cacheSource type="external" connectionId="7"/>
  <cacheFields count="2">
    <cacheField name="[Measures].[Average Performance Rating]" caption="Average Performance Rating" numFmtId="0" hierarchy="27"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1"/>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oneField="1">
      <fieldsUsage count="1">
        <fieldUsage x="0"/>
      </fieldsUsage>
    </cacheHierarchy>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2685184" backgroundQuery="1" createdVersion="8" refreshedVersion="8" minRefreshableVersion="3" recordCount="0" supportSubquery="1" supportAdvancedDrill="1" xr:uid="{100E0E05-CF6D-4E26-A96C-B94D4D272BF0}">
  <cacheSource type="external" connectionId="7"/>
  <cacheFields count="4">
    <cacheField name="[Measures].[Count of Attrition]" caption="Count of Attrition" numFmtId="0" hierarchy="40" level="32767"/>
    <cacheField name="[Salary_range].[Salary Range].[Salary Range]" caption="Salary Range" numFmtId="0" hierarchy="15" level="1">
      <sharedItems count="4">
        <s v="High"/>
        <s v="Low"/>
        <s v="Very High"/>
        <s v="Very Low"/>
      </sharedItems>
    </cacheField>
    <cacheField name="[Age_range].[Age Group].[Age Group]" caption="Age Group" numFmtId="0" hierarchy="1" level="1">
      <sharedItems containsSemiMixedTypes="0" containsNonDate="0" containsString="0"/>
    </cacheField>
    <cacheField name="Dummy0" numFmtId="0" hierarchy="46" level="32767">
      <extLst>
        <ext xmlns:x14="http://schemas.microsoft.com/office/spreadsheetml/2009/9/main" uri="{63CAB8AC-B538-458d-9737-405883B0398D}">
          <x14:cacheField ignore="1"/>
        </ext>
      </extLst>
    </cacheField>
  </cacheFields>
  <cacheHierarchies count="47">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2" memberValueDatatype="130" unbalanced="0">
      <fieldsUsage count="2">
        <fieldUsage x="-1"/>
        <fieldUsage x="1"/>
      </fieldsUsage>
    </cacheHierarchy>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y uniqueName="Dummy0" caption="Age" measure="1" count="0">
      <extLst>
        <ext xmlns:x14="http://schemas.microsoft.com/office/spreadsheetml/2009/9/main" uri="{8CF416AD-EC4C-4aba-99F5-12A058AE0983}">
          <x14:cacheHierarchy ignore="1"/>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704673495369" backgroundQuery="1" createdVersion="8" refreshedVersion="8" minRefreshableVersion="3" recordCount="0" supportSubquery="1" supportAdvancedDrill="1" xr:uid="{388C5B12-B759-4D01-A905-48501920EF40}">
  <cacheSource type="external" connectionId="7"/>
  <cacheFields count="3">
    <cacheField name="[Cleaned_Data_sheet].[Gender].[Gender]" caption="Gender" numFmtId="0" hierarchy="4" level="1">
      <sharedItems count="2">
        <s v="Female"/>
        <s v="Male"/>
      </sharedItems>
    </cacheField>
    <cacheField name="[Measures].[Count of Department]" caption="Count of Department" numFmtId="0" hierarchy="41" level="32767"/>
    <cacheField name="[Age_range].[Age Group].[Age Group]" caption="Age Group" numFmtId="0" hierarchy="1" level="1">
      <sharedItems containsSemiMixedTypes="0" containsNonDate="0" containsString="0"/>
    </cacheField>
  </cacheFields>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fieldsUsage count="2">
        <fieldUsage x="-1"/>
        <fieldUsage x="2"/>
      </fieldsUsage>
    </cacheHierarchy>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fieldsUsage count="2">
        <fieldUsage x="-1"/>
        <fieldUsage x="0"/>
      </fieldsUsage>
    </cacheHierarchy>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dimensions count="7">
    <dimension name="Age_range" uniqueName="[Age_range]" caption="Age_range"/>
    <dimension name="Cleaned_Data_sheet" uniqueName="[Cleaned_Data_sheet]" caption="Cleaned_Data_sheet"/>
    <dimension measure="1" name="Measures" uniqueName="[Measures]" caption="Measures"/>
    <dimension name="performance_rating" uniqueName="[performance_rating]" caption="performance_rating"/>
    <dimension name="Salary_range" uniqueName="[Salary_range]" caption="Salary_range"/>
    <dimension name="satisfaction_Score" uniqueName="[satisfaction_Score]" caption="satisfaction_Score"/>
    <dimension name="Year_of_Service" uniqueName="[Year_of_Service]" caption="Year_of_Service"/>
  </dimensions>
  <measureGroups count="6">
    <measureGroup name="Age_range" caption="Age_range"/>
    <measureGroup name="Cleaned_Data_sheet" caption="Cleaned_Data_sheet"/>
    <measureGroup name="performance_rating" caption="performance_rating"/>
    <measureGroup name="Salary_range" caption="Salary_range"/>
    <measureGroup name="satisfaction_Score" caption="satisfaction_Score"/>
    <measureGroup name="Year_of_Service" caption="Year_of_Service"/>
  </measureGroups>
  <maps count="11">
    <map measureGroup="0" dimension="0"/>
    <map measureGroup="1" dimension="0"/>
    <map measureGroup="1" dimension="1"/>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680472337961" backgroundQuery="1" createdVersion="3" refreshedVersion="8" minRefreshableVersion="3" recordCount="0" supportSubquery="1" supportAdvancedDrill="1" xr:uid="{1A1CA2F6-9425-44A5-AFD4-84B96CFE5C29}">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Age_range].[Age]" caption="Age" attribute="1" defaultMemberUniqueName="[Age_range].[Age].[All]" allUniqueName="[Age_range].[Age].[All]" dimensionUniqueName="[Age_range]" displayFolder="" count="0" memberValueDatatype="20" unbalanced="0"/>
    <cacheHierarchy uniqueName="[Age_range].[Age Group]" caption="Age Group" attribute="1" defaultMemberUniqueName="[Age_range].[Age Group].[All]" allUniqueName="[Age_range].[Age Group].[All]" dimensionUniqueName="[Age_range]" displayFolder="" count="2" memberValueDatatype="130" unbalanced="0"/>
    <cacheHierarchy uniqueName="[Cleaned_Data_sheet].[EmployeeID]" caption="EmployeeID" attribute="1" defaultMemberUniqueName="[Cleaned_Data_sheet].[EmployeeID].[All]" allUniqueName="[Cleaned_Data_sheet].[EmployeeID].[All]" dimensionUniqueName="[Cleaned_Data_sheet]" displayFolder="" count="0" memberValueDatatype="130" unbalanced="0"/>
    <cacheHierarchy uniqueName="[Cleaned_Data_sheet].[Age]" caption="Age" attribute="1" defaultMemberUniqueName="[Cleaned_Data_sheet].[Age].[All]" allUniqueName="[Cleaned_Data_sheet].[Age].[All]" dimensionUniqueName="[Cleaned_Data_sheet]" displayFolder="" count="0" memberValueDatatype="20" unbalanced="0"/>
    <cacheHierarchy uniqueName="[Cleaned_Data_sheet].[Gender]" caption="Gender" attribute="1" defaultMemberUniqueName="[Cleaned_Data_sheet].[Gender].[All]" allUniqueName="[Cleaned_Data_sheet].[Gender].[All]" dimensionUniqueName="[Cleaned_Data_sheet]" displayFolder="" count="2" memberValueDatatype="130" unbalanced="0"/>
    <cacheHierarchy uniqueName="[Cleaned_Data_sheet].[Department]" caption="Department" attribute="1" defaultMemberUniqueName="[Cleaned_Data_sheet].[Department].[All]" allUniqueName="[Cleaned_Data_sheet].[Department].[All]" dimensionUniqueName="[Cleaned_Data_sheet]" displayFolder="" count="2" memberValueDatatype="130" unbalanced="0"/>
    <cacheHierarchy uniqueName="[Cleaned_Data_sheet].[Job Role]" caption="Job Role" attribute="1" defaultMemberUniqueName="[Cleaned_Data_sheet].[Job Role].[All]" allUniqueName="[Cleaned_Data_sheet].[Job Role].[All]" dimensionUniqueName="[Cleaned_Data_sheet]" displayFolder="" count="0" memberValueDatatype="130" unbalanced="0"/>
    <cacheHierarchy uniqueName="[Cleaned_Data_sheet].[Years of Service]" caption="Years of Service" attribute="1" defaultMemberUniqueName="[Cleaned_Data_sheet].[Years of Service].[All]" allUniqueName="[Cleaned_Data_sheet].[Years of Service].[All]" dimensionUniqueName="[Cleaned_Data_sheet]" displayFolder="" count="0" memberValueDatatype="20" unbalanced="0"/>
    <cacheHierarchy uniqueName="[Cleaned_Data_sheet].[Performance Rating]" caption="Performance Rating" attribute="1" defaultMemberUniqueName="[Cleaned_Data_sheet].[Performance Rating].[All]" allUniqueName="[Cleaned_Data_sheet].[Performance Rating].[All]" dimensionUniqueName="[Cleaned_Data_sheet]" displayFolder="" count="2" memberValueDatatype="20" unbalanced="0"/>
    <cacheHierarchy uniqueName="[Cleaned_Data_sheet].[Satisfaction Score]" caption="Satisfaction Score" attribute="1" defaultMemberUniqueName="[Cleaned_Data_sheet].[Satisfaction Score].[All]" allUniqueName="[Cleaned_Data_sheet].[Satisfaction Score].[All]" dimensionUniqueName="[Cleaned_Data_sheet]" displayFolder="" count="0" memberValueDatatype="5" unbalanced="0"/>
    <cacheHierarchy uniqueName="[Cleaned_Data_sheet].[Salary]" caption="Salary" attribute="1" defaultMemberUniqueName="[Cleaned_Data_sheet].[Salary].[All]" allUniqueName="[Cleaned_Data_sheet].[Salary].[All]" dimensionUniqueName="[Cleaned_Data_sheet]" displayFolder="" count="0" memberValueDatatype="20" unbalanced="0"/>
    <cacheHierarchy uniqueName="[Cleaned_Data_sheet].[Attrition]" caption="Attrition" attribute="1" defaultMemberUniqueName="[Cleaned_Data_sheet].[Attrition].[All]" allUniqueName="[Cleaned_Data_sheet].[Attrition].[All]" dimensionUniqueName="[Cleaned_Data_sheet]" displayFolder="" count="0" memberValueDatatype="130" unbalanced="0"/>
    <cacheHierarchy uniqueName="[performance_rating].[Performance Rating]" caption="Performance Rating" attribute="1" defaultMemberUniqueName="[performance_rating].[Performance Rating].[All]" allUniqueName="[performance_rating].[Performance Rating].[All]" dimensionUniqueName="[performance_rating]" displayFolder="" count="0" memberValueDatatype="20" unbalanced="0"/>
    <cacheHierarchy uniqueName="[performance_rating].[Performance Rate]" caption="Performance Rate" attribute="1" defaultMemberUniqueName="[performance_rating].[Performance Rate].[All]" allUniqueName="[performance_rating].[Performance Rate].[All]" dimensionUniqueName="[performance_rating]" displayFolder="" count="0" memberValueDatatype="130" unbalanced="0"/>
    <cacheHierarchy uniqueName="[Salary_range].[Salary]" caption="Salary" attribute="1" defaultMemberUniqueName="[Salary_range].[Salary].[All]" allUniqueName="[Salary_range].[Salary].[All]" dimensionUniqueName="[Salary_range]" displayFolder="" count="0" memberValueDatatype="20" unbalanced="0"/>
    <cacheHierarchy uniqueName="[Salary_range].[Salary Range]" caption="Salary Range" attribute="1" defaultMemberUniqueName="[Salary_range].[Salary Range].[All]" allUniqueName="[Salary_range].[Salary Range].[All]" dimensionUniqueName="[Salary_range]" displayFolder="" count="0" memberValueDatatype="130" unbalanced="0"/>
    <cacheHierarchy uniqueName="[satisfaction_Score].[Satisfaction Score]" caption="Satisfaction Score" attribute="1" defaultMemberUniqueName="[satisfaction_Score].[Satisfaction Score].[All]" allUniqueName="[satisfaction_Score].[Satisfaction Score].[All]" dimensionUniqueName="[satisfaction_Score]" displayFolder="" count="0" memberValueDatatype="5" unbalanced="0"/>
    <cacheHierarchy uniqueName="[satisfaction_Score].[Satisfaction Range]" caption="Satisfaction Range" attribute="1" defaultMemberUniqueName="[satisfaction_Score].[Satisfaction Range].[All]" allUniqueName="[satisfaction_Score].[Satisfaction Range].[All]" dimensionUniqueName="[satisfaction_Score]" displayFolder="" count="0" memberValueDatatype="130" unbalanced="0"/>
    <cacheHierarchy uniqueName="[Year_of_Service].[Years of Service]" caption="Years of Service" attribute="1" defaultMemberUniqueName="[Year_of_Service].[Years of Service].[All]" allUniqueName="[Year_of_Service].[Years of Service].[All]" dimensionUniqueName="[Year_of_Service]" displayFolder="" count="0" memberValueDatatype="20" unbalanced="0"/>
    <cacheHierarchy uniqueName="[Year_of_Service].[Service Year Bucket]" caption="Service Year Bucket" attribute="1" defaultMemberUniqueName="[Year_of_Service].[Service Year Bucket].[All]" allUniqueName="[Year_of_Service].[Service Year Bucket].[All]" dimensionUniqueName="[Year_of_Service]" displayFolder="" count="0" memberValueDatatype="130" unbalanced="0"/>
    <cacheHierarchy uniqueName="[Measures].[Total Staff]" caption="Total Staff" measure="1" displayFolder="" measureGroup="Cleaned_Data_sheet" count="0"/>
    <cacheHierarchy uniqueName="[Measures].[Yes Staff(No. of Employee who left)]" caption="Yes Staff(No. of Employee who left)" measure="1" displayFolder="" measureGroup="Cleaned_Data_sheet" count="0"/>
    <cacheHierarchy uniqueName="[Measures].[No staff(No. of Employees who are still there)]" caption="No staff(No. of Employees who are still there)" measure="1" displayFolder="" measureGroup="Cleaned_Data_sheet" count="0"/>
    <cacheHierarchy uniqueName="[Measures].[Attrition Rate]" caption="Attrition Rate" measure="1" displayFolder="" measureGroup="Cleaned_Data_sheet" count="0"/>
    <cacheHierarchy uniqueName="[Measures].[Average Age]" caption="Average Age" measure="1" displayFolder="" measureGroup="Cleaned_Data_sheet" count="0"/>
    <cacheHierarchy uniqueName="[Measures].[Average Salary]" caption="Average Salary" measure="1" displayFolder="" measureGroup="Cleaned_Data_sheet" count="0"/>
    <cacheHierarchy uniqueName="[Measures].[Average Year of Service]" caption="Average Year of Service" measure="1" displayFolder="" measureGroup="Cleaned_Data_sheet" count="0"/>
    <cacheHierarchy uniqueName="[Measures].[Average Performance Rating]" caption="Average Performance Rating" measure="1" displayFolder="" measureGroup="Cleaned_Data_sheet" count="0"/>
    <cacheHierarchy uniqueName="[Measures].[Average Satisfaction Score]" caption="Average Satisfaction Score" measure="1" displayFolder="" measureGroup="Cleaned_Data_sheet" count="0"/>
    <cacheHierarchy uniqueName="[Measures].[Maximun Salary]" caption="Maximun Salary" measure="1" displayFolder="" measureGroup="Cleaned_Data_sheet" count="0"/>
    <cacheHierarchy uniqueName="[Measures].[Minimum Salary]" caption="Minimum Salary" measure="1" displayFolder="" measureGroup="Cleaned_Data_sheet" count="0"/>
    <cacheHierarchy uniqueName="[Measures].[High Performers]" caption="High Performers" measure="1" displayFolder="" measureGroup="Cleaned_Data_sheet" count="0"/>
    <cacheHierarchy uniqueName="[Measures].[__XL_Count Cleaned_Data_sheet]" caption="__XL_Count Cleaned_Data_sheet" measure="1" displayFolder="" measureGroup="Cleaned_Data_sheet" count="0" hidden="1"/>
    <cacheHierarchy uniqueName="[Measures].[__XL_Count satisfaction_Score]" caption="__XL_Count satisfaction_Score" measure="1" displayFolder="" measureGroup="satisfaction_Score" count="0" hidden="1"/>
    <cacheHierarchy uniqueName="[Measures].[__XL_Count Age_range]" caption="__XL_Count Age_range" measure="1" displayFolder="" measureGroup="Age_range" count="0" hidden="1"/>
    <cacheHierarchy uniqueName="[Measures].[__XL_Count Salary_range]" caption="__XL_Count Salary_range" measure="1" displayFolder="" measureGroup="Salary_range" count="0" hidden="1"/>
    <cacheHierarchy uniqueName="[Measures].[__XL_Count Year_of_Service]" caption="__XL_Count Year_of_Service" measure="1" displayFolder="" measureGroup="Year_of_Service" count="0" hidden="1"/>
    <cacheHierarchy uniqueName="[Measures].[__XL_Count performance_rating]" caption="__XL_Count performance_rating" measure="1" displayFolder="" measureGroup="performance_rating" count="0" hidden="1"/>
    <cacheHierarchy uniqueName="[Measures].[__No measures defined]" caption="__No measures defined" measure="1" displayFolder="" count="0" hidden="1"/>
    <cacheHierarchy uniqueName="[Measures].[Count of EmployeeID]" caption="Count of EmployeeID" measure="1" displayFolder="" measureGroup="Cleaned_Data_sheet" count="0" hidden="1">
      <extLst>
        <ext xmlns:x15="http://schemas.microsoft.com/office/spreadsheetml/2010/11/main" uri="{B97F6D7D-B522-45F9-BDA1-12C45D357490}">
          <x15:cacheHierarchy aggregatedColumn="2"/>
        </ext>
      </extLst>
    </cacheHierarchy>
    <cacheHierarchy uniqueName="[Measures].[Count of Attrition]" caption="Count of Attrition" measure="1" displayFolder="" measureGroup="Cleaned_Data_sheet"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Distinct Count of Department]" caption="Distinct Count of Department" measure="1" displayFolder="" measureGroup="Cleaned_Data_sheet" count="0" hidden="1">
      <extLst>
        <ext xmlns:x15="http://schemas.microsoft.com/office/spreadsheetml/2010/11/main" uri="{B97F6D7D-B522-45F9-BDA1-12C45D357490}">
          <x15:cacheHierarchy aggregatedColumn="5"/>
        </ext>
      </extLst>
    </cacheHierarchy>
    <cacheHierarchy uniqueName="[Measures].[Count of Job Role]" caption="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Distinct Count of Job Role]" caption="Distinct Count of Job Role" measure="1" displayFolder="" measureGroup="Cleaned_Data_sheet"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Cleaned_Data_sheet"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319715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90DD2-E6EB-4B67-9A8D-838A7A257569}" name="PivotTable5" cacheId="1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DFD40-C774-4896-8C72-325FCFAC93CB}" name="PivotTable12" cacheId="1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5"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40DB3-4CE0-4A3D-82B5-14A4C35DC11D}" name="PivotTable23" cacheId="11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3:G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0">
      <pivotArea outline="0" collapsedLevelsAreSubtotals="1"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EF00B-EED5-4B98-BB41-C7479752534A}" name="PivotTable26" cacheId="1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8"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i>
    <i>
      <x v="1"/>
    </i>
    <i>
      <x v="2"/>
    </i>
    <i>
      <x v="3"/>
    </i>
    <i t="grand">
      <x/>
    </i>
  </rowItems>
  <colFields count="1">
    <field x="-2"/>
  </colFields>
  <colItems count="2">
    <i>
      <x/>
    </i>
    <i i="1">
      <x v="1"/>
    </i>
  </colItems>
  <dataFields count="2">
    <dataField name="Count of Attrition" fld="0" subtotal="count" baseField="0" baseItem="0"/>
    <dataField name="Count of Attrition2" fld="3" subtotal="count" showDataAs="percentOfTotal" baseField="0" baseItem="0" numFmtId="10">
      <extLst>
        <ext xmlns:x14="http://schemas.microsoft.com/office/spreadsheetml/2009/9/main" uri="{E15A36E0-9728-4e99-A89B-3F7291B0FE68}">
          <x14:dataField sourceField="0" uniqueName="[__Xl2].[Measures].[Count of Attrition]"/>
        </ext>
      </extLst>
    </dataField>
  </dataFields>
  <formats count="3">
    <format dxfId="13">
      <pivotArea dataOnly="0" fieldPosition="0">
        <references count="1">
          <reference field="1" count="2">
            <x v="0"/>
            <x v="1"/>
          </reference>
        </references>
      </pivotArea>
    </format>
    <format dxfId="12">
      <pivotArea dataOnly="0" fieldPosition="0">
        <references count="1">
          <reference field="1" count="2">
            <x v="2"/>
            <x v="3"/>
          </reference>
        </references>
      </pivotArea>
    </format>
    <format dxfId="11">
      <pivotArea dataOnly="0" fieldPosition="0">
        <references count="1">
          <reference field="1" count="2">
            <x v="2"/>
            <x v="3"/>
          </reference>
        </references>
      </pivotArea>
    </format>
  </formats>
  <pivotHierarchies count="47">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CB16B-7413-452B-BEB3-EBB42786F5E8}" name="PivotTable20" cacheId="1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G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1">
    <format dxfId="14">
      <pivotArea outline="0" collapsedLevelsAreSubtotals="1"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B1B125-4D3C-458A-821E-9A4CF5BBD2B3}" name="PivotTable10" cacheId="10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DEB925-36A9-4BE1-82EB-26B99658FCEF}" name="PivotTable16" cacheId="1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2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BCB803-EA72-4259-95E3-50F0ACE13966}" name="PivotTable19" cacheId="10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Attrition" fld="0" subtotal="count" baseField="0" baseItem="0"/>
  </dataFields>
  <pivotHierarchies count="46">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4776A6-88C1-4860-A3A6-A7CF557BA5A4}" name="PivotTable1" cacheId="10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70C601-E59F-48BD-889E-F3427C43CE94}" name="PivotTable21" cacheId="1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5">
      <pivotArea outline="0" collapsedLevelsAreSubtotals="1"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549430-CBEB-4BB9-A6DB-B4EAB8766A5E}" name="PivotTable22" cacheId="1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6">
      <pivotArea outline="0" collapsedLevelsAreSubtotals="1"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512020-DF4A-490F-A246-4121EB5BE8D3}" name="PivotTable7" cacheId="1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2EC339-134D-42D5-8ADC-9A09DAACC830}" name="PivotTable8" cacheId="1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8AD269-A46C-4383-A798-3CC23B279953}" name="PivotTable3" cacheId="1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BAC8080-5791-482C-A9F9-B4996C3CD4D6}" name="PivotTable14" cacheId="10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7:D3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E347A4-B4D3-4DC8-80F7-1548664BAAD6}" name="PivotTable25" cacheId="1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 Role" fld="0" subtotal="count" baseField="0" baseItem="0" numFmtId="1">
      <extLst>
        <ext xmlns:x15="http://schemas.microsoft.com/office/spreadsheetml/2010/11/main" uri="{FABC7310-3BB5-11E1-824E-6D434824019B}">
          <x15:dataField isCountDistinct="1"/>
        </ext>
      </extLst>
    </dataField>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Job Rol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83CD365-40CB-4107-8F55-10FC7963D57E}" name="PivotTable11" cacheId="10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A3B8462-1177-41E9-8E2C-1D3E6A4ABC39}" name="PivotTable18" cacheId="1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3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epartment" fld="1"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7AA67F-FF9B-4FE8-93EF-9622EEDADB60}" name="PivotTable9" cacheId="1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A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2B56DE8-1E60-46AA-A11C-E0CB5F1F0B88}" name="PivotTable4" cacheId="1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0509A1-F870-4503-827B-48B4F1C8BE1E}" name="PivotTable24" cacheId="1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G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epartment" fld="0" subtotal="count" baseField="0" baseItem="0" numFmtId="1">
      <extLst>
        <ext xmlns:x15="http://schemas.microsoft.com/office/spreadsheetml/2010/11/main" uri="{FABC7310-3BB5-11E1-824E-6D434824019B}">
          <x15:dataField isCountDistinct="1"/>
        </ext>
      </extLst>
    </dataField>
  </dataFields>
  <formats count="1">
    <format dxfId="20">
      <pivotArea outline="0" collapsedLevelsAreSubtotals="1" fieldPosition="0"/>
    </format>
  </format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Departme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activeTabTopLevelEntity name="[Salary_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EB55F5-FB15-4178-B522-EFC5A37533A5}" name="PivotTable17" cacheId="1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F2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activeTabTopLevelEntity name="[Year_of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E6E6911-219A-4AE5-A92E-0336517716FF}" name="PivotTable15" cacheId="1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activeTabTopLevelEntity name="[performance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9D97823-3DC9-4893-91FF-EF3250133AA9}" name="PivotTable6" cacheId="1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D1EA46A-5849-4659-869A-284F16596A8C}" name="PivotTable13" cacheId="10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D2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ttritio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_sheet]"/>
        <x15:activeTabTopLevelEntity name="[Age_range]"/>
        <x15:activeTabTopLevelEntity name="[satisfaction_Sc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254F28A-0004-4E3B-ADB5-5383D65616F4}" autoFormatId="16" applyNumberFormats="0" applyBorderFormats="0" applyFontFormats="0" applyPatternFormats="0" applyAlignmentFormats="0" applyWidthHeightFormats="0">
  <queryTableRefresh nextId="12">
    <queryTableFields count="2">
      <queryTableField id="7" name=" Performance Rating " tableColumnId="7"/>
      <queryTableField id="11" name="Performance R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4578EB30-D0F5-48CF-A39A-8A14DECE5FA5}" autoFormatId="16" applyNumberFormats="0" applyBorderFormats="0" applyFontFormats="0" applyPatternFormats="0" applyAlignmentFormats="0" applyWidthHeightFormats="0">
  <queryTableRefresh nextId="3">
    <queryTableFields count="2">
      <queryTableField id="1" name=" Years of Service " tableColumnId="1"/>
      <queryTableField id="2" name="Service Year Bucke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1DE2F043-06A4-48D4-8AD3-0A455B3899BF}" autoFormatId="16" applyNumberFormats="0" applyBorderFormats="0" applyFontFormats="0" applyPatternFormats="0" applyAlignmentFormats="0" applyWidthHeightFormats="0">
  <queryTableRefresh nextId="3">
    <queryTableFields count="2">
      <queryTableField id="1" name=" Salary " tableColumnId="1"/>
      <queryTableField id="2" name="Salary Rang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526C7B91-5709-4D1E-AC76-EFF651E4133A}" autoFormatId="16" applyNumberFormats="0" applyBorderFormats="0" applyFontFormats="0" applyPatternFormats="0" applyAlignmentFormats="0" applyWidthHeightFormats="0">
  <queryTableRefresh nextId="3">
    <queryTableFields count="2">
      <queryTableField id="1" name=" Age " tableColumnId="1"/>
      <queryTableField id="2" name="Age Group"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AD12FE9B-B67B-4BB1-9BFC-0EE5EFBAF33B}" autoFormatId="16" applyNumberFormats="0" applyBorderFormats="0" applyFontFormats="0" applyPatternFormats="0" applyAlignmentFormats="0" applyWidthHeightFormats="0">
  <queryTableRefresh nextId="3">
    <queryTableFields count="2">
      <queryTableField id="1" name=" Satisfaction Score " tableColumnId="1"/>
      <queryTableField id="2" name="Satisfaction Rang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C996F415-AE44-4864-9FAE-E2B515A6F9D8}" autoFormatId="16" applyNumberFormats="0" applyBorderFormats="0" applyFontFormats="0" applyPatternFormats="0" applyAlignmentFormats="0" applyWidthHeightFormats="0">
  <queryTableRefresh nextId="11">
    <queryTableFields count="10">
      <queryTableField id="1" name=" EmployeeID " tableColumnId="1"/>
      <queryTableField id="2" name=" Age " tableColumnId="2"/>
      <queryTableField id="3" name=" Gender  " tableColumnId="3"/>
      <queryTableField id="4" name=" Department " tableColumnId="4"/>
      <queryTableField id="5" name=" Job Role   " tableColumnId="5"/>
      <queryTableField id="6" name=" Years of Service " tableColumnId="6"/>
      <queryTableField id="7" name=" Performance Rating " tableColumnId="7"/>
      <queryTableField id="8" name=" Satisfaction Score " tableColumnId="8"/>
      <queryTableField id="9" name=" Salary " tableColumnId="9"/>
      <queryTableField id="10" name=" Attrition "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E7D1BF-634D-4562-AF44-38D1F89290F4}" sourceName="[Cleaned_Data_sheet].[Department]">
  <pivotTables>
    <pivotTable tabId="9" name="PivotTable15"/>
    <pivotTable tabId="9" name="PivotTable1"/>
    <pivotTable tabId="9" name="PivotTable10"/>
    <pivotTable tabId="9" name="PivotTable11"/>
    <pivotTable tabId="9" name="PivotTable12"/>
    <pivotTable tabId="9" name="PivotTable13"/>
    <pivotTable tabId="9" name="PivotTable14"/>
    <pivotTable tabId="9" name="PivotTable16"/>
    <pivotTable tabId="9" name="PivotTable17"/>
    <pivotTable tabId="9" name="PivotTable19"/>
    <pivotTable tabId="9" name="PivotTable20"/>
    <pivotTable tabId="9" name="PivotTable21"/>
    <pivotTable tabId="9" name="PivotTable22"/>
    <pivotTable tabId="9" name="PivotTable23"/>
    <pivotTable tabId="9" name="PivotTable24"/>
    <pivotTable tabId="9" name="PivotTable25"/>
    <pivotTable tabId="9" name="PivotTable3"/>
    <pivotTable tabId="9" name="PivotTable4"/>
    <pivotTable tabId="9" name="PivotTable5"/>
    <pivotTable tabId="9" name="PivotTable6"/>
    <pivotTable tabId="9" name="PivotTable7"/>
    <pivotTable tabId="9" name="PivotTable8"/>
    <pivotTable tabId="9" name="PivotTable9"/>
    <pivotTable tabId="9" name="PivotTable26"/>
    <pivotTable tabId="9" name="PivotTable18"/>
  </pivotTables>
  <data>
    <olap pivotCacheId="2031971585">
      <levels count="2">
        <level uniqueName="[Cleaned_Data_sheet].[Department].[(All)]" sourceCaption="(All)" count="0"/>
        <level uniqueName="[Cleaned_Data_sheet].[Department].[Department]" sourceCaption="Department" count="6">
          <ranges>
            <range startItem="0">
              <i n="[Cleaned_Data_sheet].[Department].&amp;[Engineering]" c="Engineering"/>
              <i n="[Cleaned_Data_sheet].[Department].&amp;[Finance]" c="Finance"/>
              <i n="[Cleaned_Data_sheet].[Department].&amp;[HR]" c="HR"/>
              <i n="[Cleaned_Data_sheet].[Department].&amp;[IT]" c="IT"/>
              <i n="[Cleaned_Data_sheet].[Department].&amp;[Marketing]" c="Marketing"/>
              <i n="[Cleaned_Data_sheet].[Department].&amp;[Sales]" c="Sales"/>
            </range>
          </ranges>
        </level>
      </levels>
      <selections count="1">
        <selection n="[Cleaned_Data_shee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EFEE9E9C-1712-4236-A84D-28625667EBB2}" sourceName="[Cleaned_Data_sheet].[Performance Rating]">
  <pivotTables>
    <pivotTable tabId="9" name="PivotTable14"/>
    <pivotTable tabId="9" name="PivotTable1"/>
    <pivotTable tabId="9" name="PivotTable10"/>
    <pivotTable tabId="9" name="PivotTable11"/>
    <pivotTable tabId="9" name="PivotTable12"/>
    <pivotTable tabId="9" name="PivotTable13"/>
    <pivotTable tabId="9" name="PivotTable15"/>
    <pivotTable tabId="9" name="PivotTable16"/>
    <pivotTable tabId="9" name="PivotTable17"/>
    <pivotTable tabId="9" name="PivotTable19"/>
    <pivotTable tabId="9" name="PivotTable20"/>
    <pivotTable tabId="9" name="PivotTable21"/>
    <pivotTable tabId="9" name="PivotTable22"/>
    <pivotTable tabId="9" name="PivotTable23"/>
    <pivotTable tabId="9" name="PivotTable24"/>
    <pivotTable tabId="9" name="PivotTable25"/>
    <pivotTable tabId="9" name="PivotTable3"/>
    <pivotTable tabId="9" name="PivotTable4"/>
    <pivotTable tabId="9" name="PivotTable5"/>
    <pivotTable tabId="9" name="PivotTable6"/>
    <pivotTable tabId="9" name="PivotTable7"/>
    <pivotTable tabId="9" name="PivotTable8"/>
    <pivotTable tabId="9" name="PivotTable9"/>
    <pivotTable tabId="9" name="PivotTable26"/>
    <pivotTable tabId="9" name="PivotTable18"/>
  </pivotTables>
  <data>
    <olap pivotCacheId="2031971585">
      <levels count="2">
        <level uniqueName="[Cleaned_Data_sheet].[Performance Rating].[(All)]" sourceCaption="(All)" count="0"/>
        <level uniqueName="[Cleaned_Data_sheet].[Performance Rating].[Performance Rating]" sourceCaption="Performance Rating" count="5">
          <ranges>
            <range startItem="0">
              <i n="[Cleaned_Data_sheet].[Performance Rating].&amp;[5]" c="5"/>
              <i n="[Cleaned_Data_sheet].[Performance Rating].&amp;[6]" c="6"/>
              <i n="[Cleaned_Data_sheet].[Performance Rating].&amp;[7]" c="7"/>
              <i n="[Cleaned_Data_sheet].[Performance Rating].&amp;[8]" c="8"/>
              <i n="[Cleaned_Data_sheet].[Performance Rating].&amp;[9]" c="9"/>
            </range>
          </ranges>
        </level>
      </levels>
      <selections count="1">
        <selection n="[Cleaned_Data_sheet].[Performance 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F2A350-82D0-4385-AAB0-2657A2CEE7AB}" sourceName="[Cleaned_Data_sheet].[Gender]">
  <pivotTables>
    <pivotTable tabId="9" name="PivotTable11"/>
    <pivotTable tabId="9" name="PivotTable1"/>
    <pivotTable tabId="9" name="PivotTable10"/>
    <pivotTable tabId="9" name="PivotTable12"/>
    <pivotTable tabId="9" name="PivotTable13"/>
    <pivotTable tabId="9" name="PivotTable14"/>
    <pivotTable tabId="9" name="PivotTable15"/>
    <pivotTable tabId="9" name="PivotTable16"/>
    <pivotTable tabId="9" name="PivotTable17"/>
    <pivotTable tabId="9" name="PivotTable19"/>
    <pivotTable tabId="9" name="PivotTable20"/>
    <pivotTable tabId="9" name="PivotTable21"/>
    <pivotTable tabId="9" name="PivotTable22"/>
    <pivotTable tabId="9" name="PivotTable23"/>
    <pivotTable tabId="9" name="PivotTable24"/>
    <pivotTable tabId="9" name="PivotTable25"/>
    <pivotTable tabId="9" name="PivotTable3"/>
    <pivotTable tabId="9" name="PivotTable4"/>
    <pivotTable tabId="9" name="PivotTable5"/>
    <pivotTable tabId="9" name="PivotTable6"/>
    <pivotTable tabId="9" name="PivotTable7"/>
    <pivotTable tabId="9" name="PivotTable8"/>
    <pivotTable tabId="9" name="PivotTable9"/>
    <pivotTable tabId="9" name="PivotTable26"/>
    <pivotTable tabId="9" name="PivotTable18"/>
  </pivotTables>
  <data>
    <olap pivotCacheId="2031971585">
      <levels count="2">
        <level uniqueName="[Cleaned_Data_sheet].[Gender].[(All)]" sourceCaption="(All)" count="0"/>
        <level uniqueName="[Cleaned_Data_sheet].[Gender].[Gender]" sourceCaption="Gender" count="2">
          <ranges>
            <range startItem="0">
              <i n="[Cleaned_Data_sheet].[Gender].&amp;[Female]" c="Female"/>
              <i n="[Cleaned_Data_sheet].[Gender].&amp;[Male]" c="Male"/>
            </range>
          </ranges>
        </level>
      </levels>
      <selections count="1">
        <selection n="[Cleaned_Data_sheet].[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5FE24B1-9C49-44DE-9A5F-A51AC1993493}" sourceName="[Age_range].[Age Group]">
  <pivotTables>
    <pivotTable tabId="9" name="PivotTable19"/>
    <pivotTable tabId="9" name="PivotTable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20"/>
    <pivotTable tabId="9" name="PivotTable21"/>
    <pivotTable tabId="9" name="PivotTable22"/>
    <pivotTable tabId="9" name="PivotTable23"/>
    <pivotTable tabId="9" name="PivotTable24"/>
    <pivotTable tabId="9" name="PivotTable25"/>
    <pivotTable tabId="9" name="PivotTable3"/>
    <pivotTable tabId="9" name="PivotTable4"/>
    <pivotTable tabId="9" name="PivotTable5"/>
    <pivotTable tabId="9" name="PivotTable6"/>
    <pivotTable tabId="9" name="PivotTable7"/>
    <pivotTable tabId="9" name="PivotTable8"/>
    <pivotTable tabId="9" name="PivotTable9"/>
    <pivotTable tabId="9" name="PivotTable26"/>
    <pivotTable tabId="9" name="PivotTable18"/>
  </pivotTables>
  <data>
    <olap pivotCacheId="2031971585">
      <levels count="2">
        <level uniqueName="[Age_range].[Age Group].[(All)]" sourceCaption="(All)" count="0"/>
        <level uniqueName="[Age_range].[Age Group].[Age Group]" sourceCaption="Age Group" count="5">
          <ranges>
            <range startItem="0">
              <i n="[Age_range].[Age Group].&amp;[26-30years]" c="26-30years"/>
              <i n="[Age_range].[Age Group].&amp;[31-35years]" c="31-35years"/>
              <i n="[Age_range].[Age Group].&amp;[36-40years]" c="36-40years"/>
              <i n="[Age_range].[Age Group].&amp;[41-45years]" c="41-45years"/>
              <i n="[Age_range].[Age Group].&amp;[46-50years]" c="46-50years"/>
            </range>
          </ranges>
        </level>
      </levels>
      <selections count="1">
        <selection n="[Age_range].[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25655EB-285F-4D52-8214-BFDFDFCCD822}" cache="Slicer_Department" caption="Department" level="1" rowHeight="257175"/>
  <slicer name="Performance Rating" xr10:uid="{0CF05639-7969-4824-8DB0-F1E8BBF8F359}" cache="Slicer_Performance_Rating" caption="Performance Rating" level="1" rowHeight="257175"/>
  <slicer name="Gender" xr10:uid="{A0D4589E-7C4F-4057-BB49-3E965519C9D1}" cache="Slicer_Gender" caption="Gender" level="1" rowHeight="257175"/>
  <slicer name="Age Group" xr10:uid="{803CEBD3-604F-4897-9FFA-BEAA00DBD6BF}" cache="Slicer_Age_Group" caption="Age Group"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D60703-751A-40A7-821A-71FF105A7EA1}" name="performance_rating" displayName="performance_rating" ref="A1:B6" tableType="queryTable" totalsRowShown="0">
  <autoFilter ref="A1:B6" xr:uid="{9FD60703-751A-40A7-821A-71FF105A7EA1}"/>
  <tableColumns count="2">
    <tableColumn id="7" xr3:uid="{411C6EC2-4EE0-4C3B-9F3F-021B072082F5}" uniqueName="7" name=" Performance Rating " queryTableFieldId="7"/>
    <tableColumn id="1" xr3:uid="{4DE583C3-BF9E-4D39-B93A-CA6614059920}" uniqueName="1" name="Performance Rate" queryTableFieldId="11"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718012-7922-4BC9-8CD6-4115BDA18BDB}" name="Year_of_Service" displayName="Year_of_Service" ref="A1:B16" tableType="queryTable" totalsRowShown="0">
  <autoFilter ref="A1:B16" xr:uid="{03718012-7922-4BC9-8CD6-4115BDA18BDB}"/>
  <tableColumns count="2">
    <tableColumn id="1" xr3:uid="{A16D733B-E1FE-4C80-A183-C3DC0F381EF4}" uniqueName="1" name=" Years of Service " queryTableFieldId="1"/>
    <tableColumn id="2" xr3:uid="{7A0912DC-538F-4A37-9813-FD18BD6359B6}" uniqueName="2" name="Service Year Bucket" queryTableFieldId="2"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57F5DF-D7BF-429C-808E-7F4CC8198CC3}" name="Salary_range" displayName="Salary_range" ref="A1:B36" tableType="queryTable" totalsRowShown="0">
  <autoFilter ref="A1:B36" xr:uid="{A557F5DF-D7BF-429C-808E-7F4CC8198CC3}"/>
  <tableColumns count="2">
    <tableColumn id="1" xr3:uid="{7E18A6FE-0B6A-4743-A1E6-CA3C30BFEADD}" uniqueName="1" name=" Salary " queryTableFieldId="1"/>
    <tableColumn id="2" xr3:uid="{3E36CA53-1F84-4E60-8B4C-18C58ACB1EB0}" uniqueName="2" name="Salary Range" queryTableFieldId="2"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3DB06A-EEA9-4A51-BE9D-1C96B528959F}" name="Age_range" displayName="Age_range" ref="A1:B22" tableType="queryTable" totalsRowShown="0">
  <autoFilter ref="A1:B22" xr:uid="{6A3DB06A-EEA9-4A51-BE9D-1C96B528959F}"/>
  <tableColumns count="2">
    <tableColumn id="1" xr3:uid="{D28F49EF-F94C-4F59-8398-2D40AA86B531}" uniqueName="1" name=" Age " queryTableFieldId="1"/>
    <tableColumn id="2" xr3:uid="{602D72B1-6A0E-4575-A294-25E9236A4B1E}" uniqueName="2" name="Age Group" queryTableFieldId="2"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C99CA-1D34-4045-8080-14BA9CA5C968}" name="satisfaction_Score" displayName="satisfaction_Score" ref="A1:B20" tableType="queryTable" totalsRowShown="0">
  <autoFilter ref="A1:B20" xr:uid="{0DAC99CA-1D34-4045-8080-14BA9CA5C968}"/>
  <tableColumns count="2">
    <tableColumn id="1" xr3:uid="{19F7B537-2EC2-4E65-9884-EFEC6615C10C}" uniqueName="1" name=" Satisfaction Score " queryTableFieldId="1"/>
    <tableColumn id="2" xr3:uid="{18B59A01-744C-468A-82C4-92551F5F3075}" uniqueName="2" name="Satisfaction Range" queryTableFieldId="2" data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1F16FC-C8D7-4601-A0F2-6F0F5C1ACD18}" name="Cleaned_Data_sheet" displayName="Cleaned_Data_sheet" ref="A1:J781" tableType="queryTable" totalsRowShown="0">
  <autoFilter ref="A1:J781" xr:uid="{581F16FC-C8D7-4601-A0F2-6F0F5C1ACD18}"/>
  <tableColumns count="10">
    <tableColumn id="1" xr3:uid="{3E6CA7B6-BF70-4A21-894B-F6BCEE5ED5EB}" uniqueName="1" name=" EmployeeID " queryTableFieldId="1" dataDxfId="4"/>
    <tableColumn id="2" xr3:uid="{BF248502-0D93-401A-962F-620328DFB00C}" uniqueName="2" name=" Age " queryTableFieldId="2"/>
    <tableColumn id="3" xr3:uid="{0D16FFFC-4DAA-4BFE-81BC-B03DC15BA2BD}" uniqueName="3" name=" Gender  " queryTableFieldId="3" dataDxfId="3"/>
    <tableColumn id="4" xr3:uid="{704B4488-7B06-4C9D-BF44-90BE84D38836}" uniqueName="4" name=" Department " queryTableFieldId="4" dataDxfId="2"/>
    <tableColumn id="5" xr3:uid="{9757CBDD-A04E-481F-9993-F8DC8C6266A9}" uniqueName="5" name=" Job Role   " queryTableFieldId="5" dataDxfId="1"/>
    <tableColumn id="6" xr3:uid="{BA9BDEAE-3A54-4B12-8A3E-ADD22418C197}" uniqueName="6" name=" Years of Service " queryTableFieldId="6"/>
    <tableColumn id="7" xr3:uid="{B9290D02-9AA0-40EF-A0B6-09A0D87043EF}" uniqueName="7" name=" Performance Rating " queryTableFieldId="7"/>
    <tableColumn id="8" xr3:uid="{3BB1299A-F4F1-494E-88B4-8A21100DFDE4}" uniqueName="8" name=" Satisfaction Score " queryTableFieldId="8"/>
    <tableColumn id="9" xr3:uid="{C9B20FCD-934E-4601-B030-6451AC8A8EFC}" uniqueName="9" name=" Salary " queryTableFieldId="9"/>
    <tableColumn id="10" xr3:uid="{C968EB91-34D1-4364-A42E-5A5937B22DD9}" uniqueName="10" name=" Attrition "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44C1-E7EB-4234-9990-07F843BF84CE}">
  <dimension ref="A1:B6"/>
  <sheetViews>
    <sheetView workbookViewId="0">
      <selection activeCell="A2" sqref="A2"/>
    </sheetView>
  </sheetViews>
  <sheetFormatPr defaultRowHeight="15" x14ac:dyDescent="0.25"/>
  <cols>
    <col min="1" max="1" width="22.140625" bestFit="1" customWidth="1"/>
    <col min="2" max="2" width="19.7109375" bestFit="1" customWidth="1"/>
    <col min="3" max="3" width="7.42578125" bestFit="1" customWidth="1"/>
    <col min="4" max="4" width="11.28515625" bestFit="1" customWidth="1"/>
    <col min="5" max="5" width="15" bestFit="1" customWidth="1"/>
    <col min="6" max="6" width="12.5703125" bestFit="1" customWidth="1"/>
    <col min="7" max="7" width="18.7109375" bestFit="1" customWidth="1"/>
    <col min="8" max="8" width="22.140625" bestFit="1" customWidth="1"/>
    <col min="9" max="9" width="20.7109375" bestFit="1" customWidth="1"/>
    <col min="10" max="10" width="9.5703125" bestFit="1" customWidth="1"/>
    <col min="11" max="11" width="11.5703125" bestFit="1" customWidth="1"/>
  </cols>
  <sheetData>
    <row r="1" spans="1:2" x14ac:dyDescent="0.25">
      <c r="A1" t="s">
        <v>6</v>
      </c>
      <c r="B1" t="s">
        <v>804</v>
      </c>
    </row>
    <row r="2" spans="1:2" x14ac:dyDescent="0.25">
      <c r="A2">
        <v>7</v>
      </c>
      <c r="B2" s="1" t="s">
        <v>805</v>
      </c>
    </row>
    <row r="3" spans="1:2" x14ac:dyDescent="0.25">
      <c r="A3">
        <v>8</v>
      </c>
      <c r="B3" s="1" t="s">
        <v>806</v>
      </c>
    </row>
    <row r="4" spans="1:2" x14ac:dyDescent="0.25">
      <c r="A4">
        <v>6</v>
      </c>
      <c r="B4" s="1" t="s">
        <v>807</v>
      </c>
    </row>
    <row r="5" spans="1:2" x14ac:dyDescent="0.25">
      <c r="A5">
        <v>9</v>
      </c>
      <c r="B5" s="1" t="s">
        <v>808</v>
      </c>
    </row>
    <row r="6" spans="1:2" x14ac:dyDescent="0.25">
      <c r="A6">
        <v>5</v>
      </c>
      <c r="B6" s="1" t="s">
        <v>809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4F94-2483-4F90-9F94-748A35D8386E}">
  <dimension ref="A1:B16"/>
  <sheetViews>
    <sheetView workbookViewId="0"/>
  </sheetViews>
  <sheetFormatPr defaultRowHeight="15" x14ac:dyDescent="0.25"/>
  <cols>
    <col min="1" max="1" width="18.7109375" bestFit="1" customWidth="1"/>
    <col min="2" max="2" width="21.28515625" bestFit="1" customWidth="1"/>
  </cols>
  <sheetData>
    <row r="1" spans="1:2" x14ac:dyDescent="0.25">
      <c r="A1" t="s">
        <v>5</v>
      </c>
      <c r="B1" t="s">
        <v>827</v>
      </c>
    </row>
    <row r="2" spans="1:2" x14ac:dyDescent="0.25">
      <c r="A2">
        <v>5</v>
      </c>
      <c r="B2" s="1" t="s">
        <v>828</v>
      </c>
    </row>
    <row r="3" spans="1:2" x14ac:dyDescent="0.25">
      <c r="A3">
        <v>8</v>
      </c>
      <c r="B3" s="1" t="s">
        <v>828</v>
      </c>
    </row>
    <row r="4" spans="1:2" x14ac:dyDescent="0.25">
      <c r="A4">
        <v>3</v>
      </c>
      <c r="B4" s="1" t="s">
        <v>829</v>
      </c>
    </row>
    <row r="5" spans="1:2" x14ac:dyDescent="0.25">
      <c r="A5">
        <v>12</v>
      </c>
      <c r="B5" s="1" t="s">
        <v>830</v>
      </c>
    </row>
    <row r="6" spans="1:2" x14ac:dyDescent="0.25">
      <c r="A6">
        <v>6</v>
      </c>
      <c r="B6" s="1" t="s">
        <v>828</v>
      </c>
    </row>
    <row r="7" spans="1:2" x14ac:dyDescent="0.25">
      <c r="A7">
        <v>10</v>
      </c>
      <c r="B7" s="1" t="s">
        <v>830</v>
      </c>
    </row>
    <row r="8" spans="1:2" x14ac:dyDescent="0.25">
      <c r="A8">
        <v>4</v>
      </c>
      <c r="B8" s="1" t="s">
        <v>829</v>
      </c>
    </row>
    <row r="9" spans="1:2" x14ac:dyDescent="0.25">
      <c r="A9">
        <v>15</v>
      </c>
      <c r="B9" s="1" t="s">
        <v>831</v>
      </c>
    </row>
    <row r="10" spans="1:2" x14ac:dyDescent="0.25">
      <c r="A10">
        <v>7</v>
      </c>
      <c r="B10" s="1" t="s">
        <v>828</v>
      </c>
    </row>
    <row r="11" spans="1:2" x14ac:dyDescent="0.25">
      <c r="A11">
        <v>9</v>
      </c>
      <c r="B11" s="1" t="s">
        <v>830</v>
      </c>
    </row>
    <row r="12" spans="1:2" x14ac:dyDescent="0.25">
      <c r="A12">
        <v>11</v>
      </c>
      <c r="B12" s="1" t="s">
        <v>830</v>
      </c>
    </row>
    <row r="13" spans="1:2" x14ac:dyDescent="0.25">
      <c r="A13">
        <v>2</v>
      </c>
      <c r="B13" s="1" t="s">
        <v>829</v>
      </c>
    </row>
    <row r="14" spans="1:2" x14ac:dyDescent="0.25">
      <c r="A14">
        <v>13</v>
      </c>
      <c r="B14" s="1" t="s">
        <v>831</v>
      </c>
    </row>
    <row r="15" spans="1:2" x14ac:dyDescent="0.25">
      <c r="A15">
        <v>16</v>
      </c>
      <c r="B15" s="1" t="s">
        <v>831</v>
      </c>
    </row>
    <row r="16" spans="1:2" x14ac:dyDescent="0.25">
      <c r="A16">
        <v>14</v>
      </c>
      <c r="B16" s="1" t="s">
        <v>831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1651-18CB-4CE3-8843-2F30118F33F2}">
  <dimension ref="A1:B36"/>
  <sheetViews>
    <sheetView workbookViewId="0"/>
  </sheetViews>
  <sheetFormatPr defaultRowHeight="15" x14ac:dyDescent="0.25"/>
  <cols>
    <col min="1" max="1" width="9.5703125" bestFit="1" customWidth="1"/>
    <col min="2" max="2" width="14.7109375" bestFit="1" customWidth="1"/>
  </cols>
  <sheetData>
    <row r="1" spans="1:2" x14ac:dyDescent="0.25">
      <c r="A1" t="s">
        <v>8</v>
      </c>
      <c r="B1" t="s">
        <v>816</v>
      </c>
    </row>
    <row r="2" spans="1:2" x14ac:dyDescent="0.25">
      <c r="A2">
        <v>45000</v>
      </c>
      <c r="B2" s="1" t="s">
        <v>817</v>
      </c>
    </row>
    <row r="3" spans="1:2" x14ac:dyDescent="0.25">
      <c r="A3">
        <v>60000</v>
      </c>
      <c r="B3" s="1" t="s">
        <v>818</v>
      </c>
    </row>
    <row r="4" spans="1:2" x14ac:dyDescent="0.25">
      <c r="A4">
        <v>52000</v>
      </c>
      <c r="B4" s="1" t="s">
        <v>819</v>
      </c>
    </row>
    <row r="5" spans="1:2" x14ac:dyDescent="0.25">
      <c r="A5">
        <v>70000</v>
      </c>
      <c r="B5" s="1" t="s">
        <v>820</v>
      </c>
    </row>
    <row r="6" spans="1:2" x14ac:dyDescent="0.25">
      <c r="A6">
        <v>55000</v>
      </c>
      <c r="B6" s="1" t="s">
        <v>819</v>
      </c>
    </row>
    <row r="7" spans="1:2" x14ac:dyDescent="0.25">
      <c r="A7">
        <v>65000</v>
      </c>
      <c r="B7" s="1" t="s">
        <v>818</v>
      </c>
    </row>
    <row r="8" spans="1:2" x14ac:dyDescent="0.25">
      <c r="A8">
        <v>50000</v>
      </c>
      <c r="B8" s="1" t="s">
        <v>819</v>
      </c>
    </row>
    <row r="9" spans="1:2" x14ac:dyDescent="0.25">
      <c r="A9">
        <v>75000</v>
      </c>
      <c r="B9" s="1" t="s">
        <v>820</v>
      </c>
    </row>
    <row r="10" spans="1:2" x14ac:dyDescent="0.25">
      <c r="A10">
        <v>48000</v>
      </c>
      <c r="B10" s="1" t="s">
        <v>817</v>
      </c>
    </row>
    <row r="11" spans="1:2" x14ac:dyDescent="0.25">
      <c r="A11">
        <v>58000</v>
      </c>
      <c r="B11" s="1" t="s">
        <v>819</v>
      </c>
    </row>
    <row r="12" spans="1:2" x14ac:dyDescent="0.25">
      <c r="A12">
        <v>62000</v>
      </c>
      <c r="B12" s="1" t="s">
        <v>818</v>
      </c>
    </row>
    <row r="13" spans="1:2" x14ac:dyDescent="0.25">
      <c r="A13">
        <v>53000</v>
      </c>
      <c r="B13" s="1" t="s">
        <v>819</v>
      </c>
    </row>
    <row r="14" spans="1:2" x14ac:dyDescent="0.25">
      <c r="A14">
        <v>68000</v>
      </c>
      <c r="B14" s="1" t="s">
        <v>818</v>
      </c>
    </row>
    <row r="15" spans="1:2" x14ac:dyDescent="0.25">
      <c r="A15">
        <v>46000</v>
      </c>
      <c r="B15" s="1" t="s">
        <v>817</v>
      </c>
    </row>
    <row r="16" spans="1:2" x14ac:dyDescent="0.25">
      <c r="A16">
        <v>64000</v>
      </c>
      <c r="B16" s="1" t="s">
        <v>818</v>
      </c>
    </row>
    <row r="17" spans="1:2" x14ac:dyDescent="0.25">
      <c r="A17">
        <v>51000</v>
      </c>
      <c r="B17" s="1" t="s">
        <v>819</v>
      </c>
    </row>
    <row r="18" spans="1:2" x14ac:dyDescent="0.25">
      <c r="A18">
        <v>67000</v>
      </c>
      <c r="B18" s="1" t="s">
        <v>818</v>
      </c>
    </row>
    <row r="19" spans="1:2" x14ac:dyDescent="0.25">
      <c r="A19">
        <v>49000</v>
      </c>
      <c r="B19" s="1" t="s">
        <v>817</v>
      </c>
    </row>
    <row r="20" spans="1:2" x14ac:dyDescent="0.25">
      <c r="A20">
        <v>66000</v>
      </c>
      <c r="B20" s="1" t="s">
        <v>818</v>
      </c>
    </row>
    <row r="21" spans="1:2" x14ac:dyDescent="0.25">
      <c r="A21">
        <v>72000</v>
      </c>
      <c r="B21" s="1" t="s">
        <v>820</v>
      </c>
    </row>
    <row r="22" spans="1:2" x14ac:dyDescent="0.25">
      <c r="A22">
        <v>57000</v>
      </c>
      <c r="B22" s="1" t="s">
        <v>819</v>
      </c>
    </row>
    <row r="23" spans="1:2" x14ac:dyDescent="0.25">
      <c r="A23">
        <v>54000</v>
      </c>
      <c r="B23" s="1" t="s">
        <v>819</v>
      </c>
    </row>
    <row r="24" spans="1:2" x14ac:dyDescent="0.25">
      <c r="A24">
        <v>59000</v>
      </c>
      <c r="B24" s="1" t="s">
        <v>819</v>
      </c>
    </row>
    <row r="25" spans="1:2" x14ac:dyDescent="0.25">
      <c r="A25">
        <v>56000</v>
      </c>
      <c r="B25" s="1" t="s">
        <v>819</v>
      </c>
    </row>
    <row r="26" spans="1:2" x14ac:dyDescent="0.25">
      <c r="A26">
        <v>71000</v>
      </c>
      <c r="B26" s="1" t="s">
        <v>820</v>
      </c>
    </row>
    <row r="27" spans="1:2" x14ac:dyDescent="0.25">
      <c r="A27">
        <v>47000</v>
      </c>
      <c r="B27" s="1" t="s">
        <v>817</v>
      </c>
    </row>
    <row r="28" spans="1:2" x14ac:dyDescent="0.25">
      <c r="A28">
        <v>69000</v>
      </c>
      <c r="B28" s="1" t="s">
        <v>818</v>
      </c>
    </row>
    <row r="29" spans="1:2" x14ac:dyDescent="0.25">
      <c r="A29">
        <v>61000</v>
      </c>
      <c r="B29" s="1" t="s">
        <v>818</v>
      </c>
    </row>
    <row r="30" spans="1:2" x14ac:dyDescent="0.25">
      <c r="A30">
        <v>63000</v>
      </c>
      <c r="B30" s="1" t="s">
        <v>818</v>
      </c>
    </row>
    <row r="31" spans="1:2" x14ac:dyDescent="0.25">
      <c r="A31">
        <v>78000</v>
      </c>
      <c r="B31" s="1" t="s">
        <v>820</v>
      </c>
    </row>
    <row r="32" spans="1:2" x14ac:dyDescent="0.25">
      <c r="A32">
        <v>73000</v>
      </c>
      <c r="B32" s="1" t="s">
        <v>820</v>
      </c>
    </row>
    <row r="33" spans="1:2" x14ac:dyDescent="0.25">
      <c r="A33">
        <v>42000</v>
      </c>
      <c r="B33" s="1" t="s">
        <v>817</v>
      </c>
    </row>
    <row r="34" spans="1:2" x14ac:dyDescent="0.25">
      <c r="A34">
        <v>76000</v>
      </c>
      <c r="B34" s="1" t="s">
        <v>820</v>
      </c>
    </row>
    <row r="35" spans="1:2" x14ac:dyDescent="0.25">
      <c r="A35">
        <v>43000</v>
      </c>
      <c r="B35" s="1" t="s">
        <v>817</v>
      </c>
    </row>
    <row r="36" spans="1:2" x14ac:dyDescent="0.25">
      <c r="A36">
        <v>41000</v>
      </c>
      <c r="B36" s="1" t="s">
        <v>817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DE03-C1D9-45DB-B5BF-05CAF3AB9A67}">
  <dimension ref="A1:B22"/>
  <sheetViews>
    <sheetView workbookViewId="0"/>
  </sheetViews>
  <sheetFormatPr defaultRowHeight="15" x14ac:dyDescent="0.25"/>
  <cols>
    <col min="1" max="1" width="7.42578125" bestFit="1" customWidth="1"/>
    <col min="2" max="2" width="12.5703125" bestFit="1" customWidth="1"/>
  </cols>
  <sheetData>
    <row r="1" spans="1:2" x14ac:dyDescent="0.25">
      <c r="A1" t="s">
        <v>1</v>
      </c>
      <c r="B1" t="s">
        <v>810</v>
      </c>
    </row>
    <row r="2" spans="1:2" x14ac:dyDescent="0.25">
      <c r="A2">
        <v>30</v>
      </c>
      <c r="B2" s="1" t="s">
        <v>811</v>
      </c>
    </row>
    <row r="3" spans="1:2" x14ac:dyDescent="0.25">
      <c r="A3">
        <v>35</v>
      </c>
      <c r="B3" s="1" t="s">
        <v>812</v>
      </c>
    </row>
    <row r="4" spans="1:2" x14ac:dyDescent="0.25">
      <c r="A4">
        <v>28</v>
      </c>
      <c r="B4" s="1" t="s">
        <v>811</v>
      </c>
    </row>
    <row r="5" spans="1:2" x14ac:dyDescent="0.25">
      <c r="A5">
        <v>42</v>
      </c>
      <c r="B5" s="1" t="s">
        <v>813</v>
      </c>
    </row>
    <row r="6" spans="1:2" x14ac:dyDescent="0.25">
      <c r="A6">
        <v>29</v>
      </c>
      <c r="B6" s="1" t="s">
        <v>811</v>
      </c>
    </row>
    <row r="7" spans="1:2" x14ac:dyDescent="0.25">
      <c r="A7">
        <v>40</v>
      </c>
      <c r="B7" s="1" t="s">
        <v>814</v>
      </c>
    </row>
    <row r="8" spans="1:2" x14ac:dyDescent="0.25">
      <c r="A8">
        <v>33</v>
      </c>
      <c r="B8" s="1" t="s">
        <v>812</v>
      </c>
    </row>
    <row r="9" spans="1:2" x14ac:dyDescent="0.25">
      <c r="A9">
        <v>45</v>
      </c>
      <c r="B9" s="1" t="s">
        <v>813</v>
      </c>
    </row>
    <row r="10" spans="1:2" x14ac:dyDescent="0.25">
      <c r="A10">
        <v>31</v>
      </c>
      <c r="B10" s="1" t="s">
        <v>812</v>
      </c>
    </row>
    <row r="11" spans="1:2" x14ac:dyDescent="0.25">
      <c r="A11">
        <v>37</v>
      </c>
      <c r="B11" s="1" t="s">
        <v>814</v>
      </c>
    </row>
    <row r="12" spans="1:2" x14ac:dyDescent="0.25">
      <c r="A12">
        <v>32</v>
      </c>
      <c r="B12" s="1" t="s">
        <v>812</v>
      </c>
    </row>
    <row r="13" spans="1:2" x14ac:dyDescent="0.25">
      <c r="A13">
        <v>34</v>
      </c>
      <c r="B13" s="1" t="s">
        <v>812</v>
      </c>
    </row>
    <row r="14" spans="1:2" x14ac:dyDescent="0.25">
      <c r="A14">
        <v>39</v>
      </c>
      <c r="B14" s="1" t="s">
        <v>814</v>
      </c>
    </row>
    <row r="15" spans="1:2" x14ac:dyDescent="0.25">
      <c r="A15">
        <v>27</v>
      </c>
      <c r="B15" s="1" t="s">
        <v>811</v>
      </c>
    </row>
    <row r="16" spans="1:2" x14ac:dyDescent="0.25">
      <c r="A16">
        <v>43</v>
      </c>
      <c r="B16" s="1" t="s">
        <v>813</v>
      </c>
    </row>
    <row r="17" spans="1:2" x14ac:dyDescent="0.25">
      <c r="A17">
        <v>36</v>
      </c>
      <c r="B17" s="1" t="s">
        <v>814</v>
      </c>
    </row>
    <row r="18" spans="1:2" x14ac:dyDescent="0.25">
      <c r="A18">
        <v>38</v>
      </c>
      <c r="B18" s="1" t="s">
        <v>814</v>
      </c>
    </row>
    <row r="19" spans="1:2" x14ac:dyDescent="0.25">
      <c r="A19">
        <v>41</v>
      </c>
      <c r="B19" s="1" t="s">
        <v>813</v>
      </c>
    </row>
    <row r="20" spans="1:2" x14ac:dyDescent="0.25">
      <c r="A20">
        <v>44</v>
      </c>
      <c r="B20" s="1" t="s">
        <v>813</v>
      </c>
    </row>
    <row r="21" spans="1:2" x14ac:dyDescent="0.25">
      <c r="A21">
        <v>26</v>
      </c>
      <c r="B21" s="1" t="s">
        <v>811</v>
      </c>
    </row>
    <row r="22" spans="1:2" x14ac:dyDescent="0.25">
      <c r="A22">
        <v>46</v>
      </c>
      <c r="B22" s="1" t="s">
        <v>815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8B0B-6417-4DFC-B1B7-9E7F83443916}">
  <dimension ref="A1:B20"/>
  <sheetViews>
    <sheetView workbookViewId="0"/>
  </sheetViews>
  <sheetFormatPr defaultRowHeight="15" x14ac:dyDescent="0.25"/>
  <cols>
    <col min="1" max="1" width="20.7109375" bestFit="1" customWidth="1"/>
    <col min="2" max="2" width="20.28515625" bestFit="1" customWidth="1"/>
  </cols>
  <sheetData>
    <row r="1" spans="1:2" x14ac:dyDescent="0.25">
      <c r="A1" t="s">
        <v>7</v>
      </c>
      <c r="B1" t="s">
        <v>821</v>
      </c>
    </row>
    <row r="2" spans="1:2" x14ac:dyDescent="0.25">
      <c r="A2">
        <v>4</v>
      </c>
      <c r="B2" s="1" t="s">
        <v>822</v>
      </c>
    </row>
    <row r="3" spans="1:2" x14ac:dyDescent="0.25">
      <c r="A3">
        <v>4.5</v>
      </c>
      <c r="B3" s="1" t="s">
        <v>823</v>
      </c>
    </row>
    <row r="4" spans="1:2" x14ac:dyDescent="0.25">
      <c r="A4">
        <v>3.8</v>
      </c>
      <c r="B4" s="1" t="s">
        <v>822</v>
      </c>
    </row>
    <row r="5" spans="1:2" x14ac:dyDescent="0.25">
      <c r="A5">
        <v>4.2</v>
      </c>
      <c r="B5" s="1" t="s">
        <v>823</v>
      </c>
    </row>
    <row r="6" spans="1:2" x14ac:dyDescent="0.25">
      <c r="A6">
        <v>4.0999999999999996</v>
      </c>
      <c r="B6" s="1" t="s">
        <v>822</v>
      </c>
    </row>
    <row r="7" spans="1:2" x14ac:dyDescent="0.25">
      <c r="A7">
        <v>4.3</v>
      </c>
      <c r="B7" s="1" t="s">
        <v>823</v>
      </c>
    </row>
    <row r="8" spans="1:2" x14ac:dyDescent="0.25">
      <c r="A8">
        <v>3.5</v>
      </c>
      <c r="B8" s="1" t="s">
        <v>824</v>
      </c>
    </row>
    <row r="9" spans="1:2" x14ac:dyDescent="0.25">
      <c r="A9">
        <v>4.8</v>
      </c>
      <c r="B9" s="1" t="s">
        <v>825</v>
      </c>
    </row>
    <row r="10" spans="1:2" x14ac:dyDescent="0.25">
      <c r="A10">
        <v>4.4000000000000004</v>
      </c>
      <c r="B10" s="1" t="s">
        <v>823</v>
      </c>
    </row>
    <row r="11" spans="1:2" x14ac:dyDescent="0.25">
      <c r="A11">
        <v>3.7</v>
      </c>
      <c r="B11" s="1" t="s">
        <v>824</v>
      </c>
    </row>
    <row r="12" spans="1:2" x14ac:dyDescent="0.25">
      <c r="A12">
        <v>3.9</v>
      </c>
      <c r="B12" s="1" t="s">
        <v>822</v>
      </c>
    </row>
    <row r="13" spans="1:2" x14ac:dyDescent="0.25">
      <c r="A13">
        <v>4.5999999999999996</v>
      </c>
      <c r="B13" s="1" t="s">
        <v>825</v>
      </c>
    </row>
    <row r="14" spans="1:2" x14ac:dyDescent="0.25">
      <c r="A14">
        <v>3.4</v>
      </c>
      <c r="B14" s="1" t="s">
        <v>824</v>
      </c>
    </row>
    <row r="15" spans="1:2" x14ac:dyDescent="0.25">
      <c r="A15">
        <v>3</v>
      </c>
      <c r="B15" s="1" t="s">
        <v>826</v>
      </c>
    </row>
    <row r="16" spans="1:2" x14ac:dyDescent="0.25">
      <c r="A16">
        <v>3.2</v>
      </c>
      <c r="B16" s="1" t="s">
        <v>826</v>
      </c>
    </row>
    <row r="17" spans="1:2" x14ac:dyDescent="0.25">
      <c r="A17">
        <v>3.3</v>
      </c>
      <c r="B17" s="1" t="s">
        <v>826</v>
      </c>
    </row>
    <row r="18" spans="1:2" x14ac:dyDescent="0.25">
      <c r="A18">
        <v>3.6</v>
      </c>
      <c r="B18" s="1" t="s">
        <v>824</v>
      </c>
    </row>
    <row r="19" spans="1:2" x14ac:dyDescent="0.25">
      <c r="A19">
        <v>4.7</v>
      </c>
      <c r="B19" s="1" t="s">
        <v>825</v>
      </c>
    </row>
    <row r="20" spans="1:2" x14ac:dyDescent="0.25">
      <c r="A20">
        <v>3.1</v>
      </c>
      <c r="B20" s="1" t="s">
        <v>826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775B-92D6-4FB7-83E5-9523795EFB4C}">
  <dimension ref="A2:T37"/>
  <sheetViews>
    <sheetView workbookViewId="0">
      <selection activeCell="A29" sqref="A29:A30"/>
    </sheetView>
  </sheetViews>
  <sheetFormatPr defaultRowHeight="15" x14ac:dyDescent="0.25"/>
  <cols>
    <col min="1" max="1" width="26.85546875" bestFit="1" customWidth="1"/>
    <col min="3" max="3" width="18.85546875" bestFit="1" customWidth="1"/>
    <col min="4" max="4" width="16.85546875" bestFit="1" customWidth="1"/>
    <col min="5" max="5" width="13.42578125" bestFit="1" customWidth="1"/>
    <col min="6" max="6" width="20.42578125" bestFit="1" customWidth="1"/>
    <col min="7" max="7" width="24.85546875" bestFit="1" customWidth="1"/>
    <col min="8" max="8" width="16.85546875" bestFit="1" customWidth="1"/>
    <col min="9" max="9" width="13.42578125" bestFit="1" customWidth="1"/>
    <col min="10" max="10" width="16.85546875" customWidth="1"/>
    <col min="11" max="11" width="18" bestFit="1" customWidth="1"/>
    <col min="12" max="12" width="10.42578125" bestFit="1" customWidth="1"/>
    <col min="13" max="13" width="7.42578125" bestFit="1" customWidth="1"/>
    <col min="14" max="14" width="4" bestFit="1" customWidth="1"/>
    <col min="15" max="15" width="11.5703125" bestFit="1" customWidth="1"/>
    <col min="16" max="16" width="7.28515625" customWidth="1"/>
    <col min="17" max="17" width="4.42578125" bestFit="1" customWidth="1"/>
    <col min="18" max="18" width="9.140625" bestFit="1" customWidth="1"/>
    <col min="19" max="20" width="4" bestFit="1" customWidth="1"/>
    <col min="21" max="787" width="4.42578125" bestFit="1" customWidth="1"/>
    <col min="788" max="788" width="11.28515625" bestFit="1" customWidth="1"/>
  </cols>
  <sheetData>
    <row r="2" spans="1:20" x14ac:dyDescent="0.25">
      <c r="C2" t="s">
        <v>847</v>
      </c>
      <c r="E2" t="s">
        <v>850</v>
      </c>
      <c r="G2" t="s">
        <v>859</v>
      </c>
    </row>
    <row r="3" spans="1:20" x14ac:dyDescent="0.25">
      <c r="A3" t="s">
        <v>832</v>
      </c>
      <c r="C3" s="3" t="s">
        <v>844</v>
      </c>
      <c r="D3" t="s">
        <v>843</v>
      </c>
      <c r="E3" s="3" t="s">
        <v>844</v>
      </c>
      <c r="F3" t="s">
        <v>843</v>
      </c>
      <c r="G3" s="3" t="s">
        <v>844</v>
      </c>
      <c r="H3" t="s">
        <v>843</v>
      </c>
      <c r="I3" s="3" t="s">
        <v>844</v>
      </c>
      <c r="J3" t="s">
        <v>843</v>
      </c>
      <c r="K3" t="s">
        <v>866</v>
      </c>
      <c r="T3">
        <f>MAX(S4:S7)*1.5</f>
        <v>480</v>
      </c>
    </row>
    <row r="4" spans="1:20" x14ac:dyDescent="0.25">
      <c r="A4" s="2">
        <v>780</v>
      </c>
      <c r="C4" s="7" t="s">
        <v>15</v>
      </c>
      <c r="D4" s="1">
        <v>325</v>
      </c>
      <c r="E4" s="7" t="s">
        <v>25</v>
      </c>
      <c r="F4" s="1">
        <v>105</v>
      </c>
      <c r="G4" s="7" t="s">
        <v>818</v>
      </c>
      <c r="H4" s="1">
        <v>320</v>
      </c>
      <c r="I4" s="14" t="s">
        <v>818</v>
      </c>
      <c r="J4" s="15">
        <v>320</v>
      </c>
      <c r="K4" s="16">
        <v>0.41025641025641024</v>
      </c>
      <c r="M4" t="str">
        <f t="shared" ref="M4:P5" si="0">C4</f>
        <v>Female</v>
      </c>
      <c r="N4">
        <f t="shared" si="0"/>
        <v>325</v>
      </c>
      <c r="O4" t="str">
        <f t="shared" si="0"/>
        <v>Engineering</v>
      </c>
      <c r="P4">
        <f t="shared" si="0"/>
        <v>105</v>
      </c>
      <c r="R4" t="str">
        <f>G4</f>
        <v>High</v>
      </c>
      <c r="S4">
        <f>H4</f>
        <v>320</v>
      </c>
      <c r="T4">
        <f>$T$3-S4</f>
        <v>160</v>
      </c>
    </row>
    <row r="5" spans="1:20" x14ac:dyDescent="0.25">
      <c r="C5" s="7" t="s">
        <v>11</v>
      </c>
      <c r="D5" s="1">
        <v>455</v>
      </c>
      <c r="E5" s="7" t="s">
        <v>28</v>
      </c>
      <c r="F5" s="1">
        <v>119</v>
      </c>
      <c r="G5" s="7" t="s">
        <v>819</v>
      </c>
      <c r="H5" s="1">
        <v>293</v>
      </c>
      <c r="I5" s="14" t="s">
        <v>819</v>
      </c>
      <c r="J5" s="15">
        <v>293</v>
      </c>
      <c r="K5" s="16">
        <v>0.37564102564102564</v>
      </c>
      <c r="M5" t="str">
        <f t="shared" si="0"/>
        <v>Male</v>
      </c>
      <c r="N5">
        <f t="shared" si="0"/>
        <v>455</v>
      </c>
      <c r="O5" t="str">
        <f t="shared" si="0"/>
        <v>Finance</v>
      </c>
      <c r="P5">
        <f t="shared" si="0"/>
        <v>119</v>
      </c>
      <c r="R5" t="str">
        <f t="shared" ref="R5:R7" si="1">G5</f>
        <v>Low</v>
      </c>
      <c r="S5">
        <f t="shared" ref="S5:S7" si="2">H5</f>
        <v>293</v>
      </c>
      <c r="T5">
        <f t="shared" ref="T5:T7" si="3">$T$3-S5</f>
        <v>187</v>
      </c>
    </row>
    <row r="6" spans="1:20" x14ac:dyDescent="0.25">
      <c r="C6" s="7" t="s">
        <v>845</v>
      </c>
      <c r="D6" s="1">
        <v>780</v>
      </c>
      <c r="E6" s="7" t="s">
        <v>22</v>
      </c>
      <c r="F6" s="1">
        <v>132</v>
      </c>
      <c r="G6" s="7" t="s">
        <v>820</v>
      </c>
      <c r="H6" s="1">
        <v>119</v>
      </c>
      <c r="I6" s="17" t="s">
        <v>820</v>
      </c>
      <c r="J6" s="18">
        <v>119</v>
      </c>
      <c r="K6" s="19">
        <v>0.15256410256410258</v>
      </c>
      <c r="O6" t="str">
        <f t="shared" ref="O6:P9" si="4">E6</f>
        <v>HR</v>
      </c>
      <c r="P6">
        <f t="shared" si="4"/>
        <v>132</v>
      </c>
      <c r="R6" t="str">
        <f t="shared" si="1"/>
        <v>Very High</v>
      </c>
      <c r="S6">
        <f t="shared" si="2"/>
        <v>119</v>
      </c>
      <c r="T6">
        <f t="shared" si="3"/>
        <v>361</v>
      </c>
    </row>
    <row r="7" spans="1:20" x14ac:dyDescent="0.25">
      <c r="A7" t="s">
        <v>833</v>
      </c>
      <c r="E7" s="7" t="s">
        <v>19</v>
      </c>
      <c r="F7" s="1">
        <v>142</v>
      </c>
      <c r="G7" s="7" t="s">
        <v>817</v>
      </c>
      <c r="H7" s="1">
        <v>48</v>
      </c>
      <c r="I7" s="17" t="s">
        <v>817</v>
      </c>
      <c r="J7" s="18">
        <v>48</v>
      </c>
      <c r="K7" s="19">
        <v>6.1538461538461542E-2</v>
      </c>
      <c r="O7" t="str">
        <f t="shared" si="4"/>
        <v>IT</v>
      </c>
      <c r="P7">
        <f t="shared" si="4"/>
        <v>142</v>
      </c>
      <c r="R7" t="str">
        <f t="shared" si="1"/>
        <v>Very Low</v>
      </c>
      <c r="S7">
        <f t="shared" si="2"/>
        <v>48</v>
      </c>
      <c r="T7">
        <f t="shared" si="3"/>
        <v>432</v>
      </c>
    </row>
    <row r="8" spans="1:20" x14ac:dyDescent="0.25">
      <c r="A8" s="4">
        <v>234</v>
      </c>
      <c r="C8" s="7" t="s">
        <v>846</v>
      </c>
      <c r="E8" s="7" t="s">
        <v>16</v>
      </c>
      <c r="F8" s="1">
        <v>125</v>
      </c>
      <c r="G8" s="7" t="s">
        <v>845</v>
      </c>
      <c r="H8" s="1">
        <v>780</v>
      </c>
      <c r="I8" s="7" t="s">
        <v>845</v>
      </c>
      <c r="J8" s="1">
        <v>780</v>
      </c>
      <c r="K8" s="13">
        <v>1</v>
      </c>
      <c r="O8" t="str">
        <f t="shared" si="4"/>
        <v>Marketing</v>
      </c>
      <c r="P8">
        <f t="shared" si="4"/>
        <v>125</v>
      </c>
    </row>
    <row r="9" spans="1:20" x14ac:dyDescent="0.25">
      <c r="C9" s="3" t="s">
        <v>844</v>
      </c>
      <c r="D9" t="s">
        <v>843</v>
      </c>
      <c r="E9" s="7" t="s">
        <v>12</v>
      </c>
      <c r="F9" s="1">
        <v>157</v>
      </c>
      <c r="O9" t="str">
        <f t="shared" si="4"/>
        <v>Sales</v>
      </c>
      <c r="P9">
        <f t="shared" si="4"/>
        <v>157</v>
      </c>
    </row>
    <row r="10" spans="1:20" x14ac:dyDescent="0.25">
      <c r="C10" s="7" t="s">
        <v>811</v>
      </c>
      <c r="D10" s="1">
        <v>228</v>
      </c>
      <c r="E10" s="7" t="s">
        <v>845</v>
      </c>
      <c r="F10" s="1">
        <v>780</v>
      </c>
      <c r="L10" t="str">
        <f t="shared" ref="L10:M14" si="5">C10</f>
        <v>26-30years</v>
      </c>
      <c r="M10">
        <f t="shared" si="5"/>
        <v>228</v>
      </c>
    </row>
    <row r="11" spans="1:20" x14ac:dyDescent="0.25">
      <c r="C11" s="7" t="s">
        <v>812</v>
      </c>
      <c r="D11" s="1">
        <v>292</v>
      </c>
      <c r="G11" t="s">
        <v>860</v>
      </c>
      <c r="L11" t="str">
        <f t="shared" si="5"/>
        <v>31-35years</v>
      </c>
      <c r="M11">
        <f t="shared" si="5"/>
        <v>292</v>
      </c>
    </row>
    <row r="12" spans="1:20" x14ac:dyDescent="0.25">
      <c r="A12" t="s">
        <v>836</v>
      </c>
      <c r="C12" s="7" t="s">
        <v>814</v>
      </c>
      <c r="D12" s="1">
        <v>180</v>
      </c>
      <c r="E12" s="7" t="s">
        <v>857</v>
      </c>
      <c r="G12" s="8">
        <v>78000</v>
      </c>
      <c r="L12" t="str">
        <f t="shared" si="5"/>
        <v>36-40years</v>
      </c>
      <c r="M12">
        <f t="shared" si="5"/>
        <v>180</v>
      </c>
    </row>
    <row r="13" spans="1:20" x14ac:dyDescent="0.25">
      <c r="A13" s="2">
        <v>546</v>
      </c>
      <c r="C13" s="7" t="s">
        <v>813</v>
      </c>
      <c r="D13" s="1">
        <v>78</v>
      </c>
      <c r="E13" s="3" t="s">
        <v>844</v>
      </c>
      <c r="F13" t="s">
        <v>843</v>
      </c>
      <c r="L13" t="str">
        <f t="shared" si="5"/>
        <v>41-45years</v>
      </c>
      <c r="M13">
        <f t="shared" si="5"/>
        <v>78</v>
      </c>
      <c r="O13" t="str">
        <f>E14</f>
        <v xml:space="preserve"> Accountant</v>
      </c>
      <c r="P13">
        <f>F14</f>
        <v>41</v>
      </c>
    </row>
    <row r="14" spans="1:20" x14ac:dyDescent="0.25">
      <c r="C14" s="7" t="s">
        <v>815</v>
      </c>
      <c r="D14" s="1">
        <v>2</v>
      </c>
      <c r="E14" s="7" t="s">
        <v>851</v>
      </c>
      <c r="F14" s="1">
        <v>41</v>
      </c>
      <c r="L14" t="str">
        <f t="shared" si="5"/>
        <v>46-50years</v>
      </c>
      <c r="M14">
        <f t="shared" si="5"/>
        <v>2</v>
      </c>
      <c r="O14" t="str">
        <f t="shared" ref="O14:O18" si="6">E15</f>
        <v xml:space="preserve"> Analyst</v>
      </c>
      <c r="P14">
        <f t="shared" ref="P14:P18" si="7">F15</f>
        <v>124</v>
      </c>
    </row>
    <row r="15" spans="1:20" x14ac:dyDescent="0.25">
      <c r="C15" s="7" t="s">
        <v>845</v>
      </c>
      <c r="D15" s="1">
        <v>780</v>
      </c>
      <c r="E15" s="7" t="s">
        <v>852</v>
      </c>
      <c r="F15" s="1">
        <v>124</v>
      </c>
      <c r="G15" t="s">
        <v>861</v>
      </c>
      <c r="O15" t="str">
        <f t="shared" si="6"/>
        <v xml:space="preserve"> Engineer</v>
      </c>
      <c r="P15">
        <f t="shared" si="7"/>
        <v>180</v>
      </c>
    </row>
    <row r="16" spans="1:20" x14ac:dyDescent="0.25">
      <c r="E16" s="7" t="s">
        <v>853</v>
      </c>
      <c r="F16" s="1">
        <v>180</v>
      </c>
      <c r="G16" s="8">
        <v>41000</v>
      </c>
      <c r="O16" t="str">
        <f t="shared" si="6"/>
        <v xml:space="preserve"> Manager</v>
      </c>
      <c r="P16">
        <f t="shared" si="7"/>
        <v>103</v>
      </c>
    </row>
    <row r="17" spans="1:16" x14ac:dyDescent="0.25">
      <c r="A17" t="s">
        <v>837</v>
      </c>
      <c r="C17" s="7" t="s">
        <v>848</v>
      </c>
      <c r="E17" s="7" t="s">
        <v>854</v>
      </c>
      <c r="F17" s="1">
        <v>103</v>
      </c>
      <c r="O17" t="str">
        <f t="shared" si="6"/>
        <v xml:space="preserve"> Sales Rep</v>
      </c>
      <c r="P17">
        <f t="shared" si="7"/>
        <v>124</v>
      </c>
    </row>
    <row r="18" spans="1:16" x14ac:dyDescent="0.25">
      <c r="A18" s="2">
        <v>30</v>
      </c>
      <c r="C18" s="3" t="s">
        <v>844</v>
      </c>
      <c r="D18" t="s">
        <v>843</v>
      </c>
      <c r="E18" s="7" t="s">
        <v>855</v>
      </c>
      <c r="F18" s="1">
        <v>124</v>
      </c>
      <c r="M18">
        <f>MAX(L19:L23) *1.5</f>
        <v>450</v>
      </c>
      <c r="O18" t="str">
        <f t="shared" si="6"/>
        <v xml:space="preserve"> Specialist</v>
      </c>
      <c r="P18">
        <f t="shared" si="7"/>
        <v>208</v>
      </c>
    </row>
    <row r="19" spans="1:16" x14ac:dyDescent="0.25">
      <c r="C19" s="7" t="s">
        <v>824</v>
      </c>
      <c r="D19" s="1">
        <v>300</v>
      </c>
      <c r="E19" s="7" t="s">
        <v>856</v>
      </c>
      <c r="F19" s="1">
        <v>208</v>
      </c>
      <c r="G19" t="s">
        <v>862</v>
      </c>
      <c r="K19" t="str">
        <f t="shared" ref="K19:L23" si="8">C19</f>
        <v>Dissatisfied</v>
      </c>
      <c r="L19">
        <f t="shared" si="8"/>
        <v>300</v>
      </c>
      <c r="M19">
        <f>$M$18-L19</f>
        <v>150</v>
      </c>
    </row>
    <row r="20" spans="1:16" x14ac:dyDescent="0.25">
      <c r="C20" s="7" t="s">
        <v>822</v>
      </c>
      <c r="D20" s="1">
        <v>274</v>
      </c>
      <c r="E20" s="7" t="s">
        <v>845</v>
      </c>
      <c r="F20" s="1">
        <v>780</v>
      </c>
      <c r="G20" s="8">
        <v>469</v>
      </c>
      <c r="K20" t="str">
        <f t="shared" si="8"/>
        <v>Neutral</v>
      </c>
      <c r="L20">
        <f t="shared" si="8"/>
        <v>274</v>
      </c>
      <c r="M20">
        <f t="shared" ref="M20:M23" si="9">$M$18-L20</f>
        <v>176</v>
      </c>
    </row>
    <row r="21" spans="1:16" x14ac:dyDescent="0.25">
      <c r="A21" t="s">
        <v>838</v>
      </c>
      <c r="C21" s="7" t="s">
        <v>823</v>
      </c>
      <c r="D21" s="1">
        <v>104</v>
      </c>
      <c r="K21" t="str">
        <f t="shared" si="8"/>
        <v>Satisfied</v>
      </c>
      <c r="L21">
        <f t="shared" si="8"/>
        <v>104</v>
      </c>
      <c r="M21">
        <f t="shared" si="9"/>
        <v>346</v>
      </c>
    </row>
    <row r="22" spans="1:16" x14ac:dyDescent="0.25">
      <c r="A22" s="2">
        <v>33.880769230769232</v>
      </c>
      <c r="C22" s="7" t="s">
        <v>826</v>
      </c>
      <c r="D22" s="1">
        <v>79</v>
      </c>
      <c r="E22" s="7" t="s">
        <v>858</v>
      </c>
      <c r="K22" t="str">
        <f t="shared" si="8"/>
        <v>Very Dissatisfied</v>
      </c>
      <c r="L22">
        <f t="shared" si="8"/>
        <v>79</v>
      </c>
      <c r="M22">
        <f t="shared" si="9"/>
        <v>371</v>
      </c>
    </row>
    <row r="23" spans="1:16" x14ac:dyDescent="0.25">
      <c r="C23" s="7" t="s">
        <v>825</v>
      </c>
      <c r="D23" s="1">
        <v>23</v>
      </c>
      <c r="E23" s="3" t="s">
        <v>844</v>
      </c>
      <c r="F23" t="s">
        <v>843</v>
      </c>
      <c r="G23" t="s">
        <v>862</v>
      </c>
      <c r="K23" t="str">
        <f t="shared" si="8"/>
        <v>Very Satisfied</v>
      </c>
      <c r="L23">
        <f t="shared" si="8"/>
        <v>23</v>
      </c>
      <c r="M23">
        <f t="shared" si="9"/>
        <v>427</v>
      </c>
    </row>
    <row r="24" spans="1:16" x14ac:dyDescent="0.25">
      <c r="C24" s="7" t="s">
        <v>845</v>
      </c>
      <c r="D24" s="1">
        <v>780</v>
      </c>
      <c r="E24" s="7" t="s">
        <v>828</v>
      </c>
      <c r="F24" s="1">
        <v>433</v>
      </c>
      <c r="G24" s="8">
        <v>469</v>
      </c>
      <c r="O24" t="str">
        <f>E24</f>
        <v>Developing</v>
      </c>
      <c r="P24">
        <f>F24</f>
        <v>433</v>
      </c>
    </row>
    <row r="25" spans="1:16" x14ac:dyDescent="0.25">
      <c r="E25" s="7" t="s">
        <v>829</v>
      </c>
      <c r="F25" s="1">
        <v>204</v>
      </c>
      <c r="O25" t="str">
        <f t="shared" ref="O25:O27" si="10">E25</f>
        <v>Early</v>
      </c>
      <c r="P25">
        <f t="shared" ref="P25:P27" si="11">F25</f>
        <v>204</v>
      </c>
    </row>
    <row r="26" spans="1:16" x14ac:dyDescent="0.25">
      <c r="A26" t="s">
        <v>839</v>
      </c>
      <c r="C26" s="7" t="s">
        <v>849</v>
      </c>
      <c r="E26" s="7" t="s">
        <v>830</v>
      </c>
      <c r="F26" s="1">
        <v>126</v>
      </c>
      <c r="M26">
        <f>MAX(L27:L31) *1.5</f>
        <v>369</v>
      </c>
      <c r="O26" t="str">
        <f t="shared" si="10"/>
        <v>Experienced</v>
      </c>
      <c r="P26">
        <f t="shared" si="11"/>
        <v>126</v>
      </c>
    </row>
    <row r="27" spans="1:16" x14ac:dyDescent="0.25">
      <c r="A27" s="5">
        <v>60953.846153846156</v>
      </c>
      <c r="C27" s="3" t="s">
        <v>844</v>
      </c>
      <c r="D27" t="s">
        <v>843</v>
      </c>
      <c r="E27" s="7" t="s">
        <v>831</v>
      </c>
      <c r="F27" s="1">
        <v>17</v>
      </c>
      <c r="G27" t="s">
        <v>863</v>
      </c>
      <c r="K27" t="str">
        <f t="shared" ref="K27:L31" si="12">C28</f>
        <v>Exceeds Expectation</v>
      </c>
      <c r="L27">
        <f t="shared" si="12"/>
        <v>158</v>
      </c>
      <c r="M27">
        <f>$M$26-L27</f>
        <v>211</v>
      </c>
      <c r="O27" t="str">
        <f t="shared" si="10"/>
        <v>Veteran</v>
      </c>
      <c r="P27">
        <f t="shared" si="11"/>
        <v>17</v>
      </c>
    </row>
    <row r="28" spans="1:16" x14ac:dyDescent="0.25">
      <c r="C28" s="7" t="s">
        <v>806</v>
      </c>
      <c r="D28" s="1">
        <v>158</v>
      </c>
      <c r="E28" s="7" t="s">
        <v>845</v>
      </c>
      <c r="F28" s="1">
        <v>780</v>
      </c>
      <c r="G28" s="2">
        <v>6</v>
      </c>
      <c r="K28" t="str">
        <f t="shared" si="12"/>
        <v>Meets Expectation</v>
      </c>
      <c r="L28">
        <f t="shared" si="12"/>
        <v>246</v>
      </c>
      <c r="M28">
        <f t="shared" ref="M28:M31" si="13">$M$26-L28</f>
        <v>123</v>
      </c>
    </row>
    <row r="29" spans="1:16" x14ac:dyDescent="0.25">
      <c r="A29" t="s">
        <v>840</v>
      </c>
      <c r="C29" s="7" t="s">
        <v>805</v>
      </c>
      <c r="D29" s="1">
        <v>246</v>
      </c>
      <c r="K29" t="str">
        <f t="shared" si="12"/>
        <v>Need Improvement</v>
      </c>
      <c r="L29">
        <f t="shared" si="12"/>
        <v>176</v>
      </c>
      <c r="M29">
        <f t="shared" si="13"/>
        <v>193</v>
      </c>
    </row>
    <row r="30" spans="1:16" x14ac:dyDescent="0.25">
      <c r="A30" s="4">
        <v>6.4192307692307695</v>
      </c>
      <c r="C30" s="7" t="s">
        <v>807</v>
      </c>
      <c r="D30" s="1">
        <v>176</v>
      </c>
      <c r="K30" t="str">
        <f t="shared" si="12"/>
        <v>Outsanding</v>
      </c>
      <c r="L30">
        <f t="shared" si="12"/>
        <v>65</v>
      </c>
      <c r="M30">
        <f t="shared" si="13"/>
        <v>304</v>
      </c>
    </row>
    <row r="31" spans="1:16" x14ac:dyDescent="0.25">
      <c r="C31" s="7" t="s">
        <v>808</v>
      </c>
      <c r="D31" s="1">
        <v>65</v>
      </c>
      <c r="G31" s="2" t="s">
        <v>864</v>
      </c>
      <c r="K31" t="str">
        <f t="shared" si="12"/>
        <v>Unsatisfactory</v>
      </c>
      <c r="L31">
        <f t="shared" si="12"/>
        <v>135</v>
      </c>
      <c r="M31">
        <f t="shared" si="13"/>
        <v>234</v>
      </c>
    </row>
    <row r="32" spans="1:16" x14ac:dyDescent="0.25">
      <c r="C32" s="7" t="s">
        <v>809</v>
      </c>
      <c r="D32" s="1">
        <v>135</v>
      </c>
      <c r="G32" s="2">
        <v>6</v>
      </c>
    </row>
    <row r="33" spans="1:6" x14ac:dyDescent="0.25">
      <c r="A33" t="s">
        <v>841</v>
      </c>
      <c r="C33" s="7" t="s">
        <v>845</v>
      </c>
      <c r="D33" s="1">
        <v>780</v>
      </c>
      <c r="E33" s="3" t="s">
        <v>844</v>
      </c>
      <c r="F33" t="s">
        <v>865</v>
      </c>
    </row>
    <row r="34" spans="1:6" x14ac:dyDescent="0.25">
      <c r="A34" s="2">
        <v>6.7974358974358973</v>
      </c>
      <c r="E34" s="7" t="s">
        <v>15</v>
      </c>
      <c r="F34" s="1">
        <v>325</v>
      </c>
    </row>
    <row r="35" spans="1:6" x14ac:dyDescent="0.25">
      <c r="E35" s="7" t="s">
        <v>11</v>
      </c>
      <c r="F35" s="1">
        <v>455</v>
      </c>
    </row>
    <row r="36" spans="1:6" x14ac:dyDescent="0.25">
      <c r="A36" t="s">
        <v>842</v>
      </c>
      <c r="E36" s="7" t="s">
        <v>845</v>
      </c>
      <c r="F36" s="1">
        <v>780</v>
      </c>
    </row>
    <row r="37" spans="1:6" x14ac:dyDescent="0.25">
      <c r="A37" s="6">
        <v>3.7820512820512837</v>
      </c>
    </row>
  </sheetData>
  <sortState xmlns:xlrd2="http://schemas.microsoft.com/office/spreadsheetml/2017/richdata2" ref="O4:P9">
    <sortCondition descending="1" ref="O4:O9"/>
  </sortState>
  <pageMargins left="0.7" right="0.7" top="0.75" bottom="0.75" header="0.3" footer="0.3"/>
  <pageSetup orientation="portrait" r:id="rId26"/>
  <drawing r:id="rId2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7FB7-9F56-4CEB-870D-90B4D034BFD8}">
  <dimension ref="C2:G2"/>
  <sheetViews>
    <sheetView workbookViewId="0">
      <selection activeCell="C3" sqref="C3"/>
    </sheetView>
  </sheetViews>
  <sheetFormatPr defaultRowHeight="15" x14ac:dyDescent="0.25"/>
  <cols>
    <col min="3" max="3" width="14.42578125" customWidth="1"/>
    <col min="4" max="4" width="16.7109375" customWidth="1"/>
    <col min="5" max="5" width="18.42578125" customWidth="1"/>
    <col min="6" max="6" width="19.5703125" customWidth="1"/>
    <col min="7" max="7" width="18.7109375" customWidth="1"/>
  </cols>
  <sheetData>
    <row r="2" spans="3:7" x14ac:dyDescent="0.25">
      <c r="C2" t="s">
        <v>867</v>
      </c>
      <c r="D2" t="s">
        <v>868</v>
      </c>
      <c r="E2" t="s">
        <v>869</v>
      </c>
      <c r="F2" t="s">
        <v>870</v>
      </c>
      <c r="G2" t="s">
        <v>871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5BC2-D7EF-4C4B-820A-D3B7BFFA8E1B}">
  <dimension ref="A5:AD12"/>
  <sheetViews>
    <sheetView tabSelected="1" workbookViewId="0">
      <selection activeCell="I3" sqref="I3"/>
    </sheetView>
  </sheetViews>
  <sheetFormatPr defaultColWidth="0" defaultRowHeight="15" x14ac:dyDescent="0.25"/>
  <cols>
    <col min="1" max="7" width="9.140625" style="9" customWidth="1"/>
    <col min="8" max="8" width="10.140625" style="9" customWidth="1"/>
    <col min="9" max="11" width="9.140625" style="9" customWidth="1"/>
    <col min="12" max="12" width="5.42578125" style="9" customWidth="1"/>
    <col min="13" max="13" width="9.140625" style="9" customWidth="1"/>
    <col min="14" max="14" width="10.140625" style="9" customWidth="1"/>
    <col min="15" max="27" width="9.140625" style="9" customWidth="1"/>
    <col min="28" max="28" width="10.5703125" style="9" customWidth="1"/>
    <col min="29" max="29" width="9.140625" style="9" customWidth="1"/>
    <col min="30" max="30" width="9.140625" style="10" customWidth="1"/>
    <col min="31" max="16384" width="9.140625" hidden="1"/>
  </cols>
  <sheetData>
    <row r="5" spans="7:28" x14ac:dyDescent="0.25">
      <c r="Q5" s="24">
        <f>GETPIVOTDATA("[Measures].[Average Year of Service]",'pivot Analyser'!$A$29)</f>
        <v>6.4192307692307695</v>
      </c>
      <c r="T5" s="23">
        <f>GETPIVOTDATA("[Measures].[Average Performance Rating]",'pivot Analyser'!$A$33)</f>
        <v>6.7974358974358973</v>
      </c>
      <c r="W5" s="24">
        <f>GETPIVOTDATA("[Measures].[Average Satisfaction Score]",'pivot Analyser'!$A$36)</f>
        <v>3.7820512820512837</v>
      </c>
      <c r="Z5" s="21">
        <f>GETPIVOTDATA("[Measures].[Distinct Count of Department]",'pivot Analyser'!$G$27)</f>
        <v>6</v>
      </c>
      <c r="AB5" s="27">
        <f>GETPIVOTDATA("[Measures].[No staff(No. of Employees who are still there)]",'pivot Analyser'!$A$12)</f>
        <v>546</v>
      </c>
    </row>
    <row r="6" spans="7:28" ht="15" customHeight="1" x14ac:dyDescent="0.45">
      <c r="G6" s="20">
        <f>GETPIVOTDATA("[Measures].[Total Staff]",'pivot Analyser'!$A$3)</f>
        <v>780</v>
      </c>
      <c r="I6" s="20">
        <f>GETPIVOTDATA("[Measures].[Yes Staff(No. of Employee who left)]",'pivot Analyser'!$A$7)</f>
        <v>234</v>
      </c>
      <c r="K6" s="20">
        <f>GETPIVOTDATA("[Measures].[Attrition Rate]",'pivot Analyser'!$A$17)</f>
        <v>30</v>
      </c>
      <c r="M6" s="22">
        <f>GETPIVOTDATA("[Measures].[Average Salary]",'pivot Analyser'!$A$26)</f>
        <v>60953.846153846156</v>
      </c>
      <c r="N6" s="22"/>
      <c r="Q6" s="24"/>
      <c r="S6" s="25"/>
      <c r="T6" s="23"/>
      <c r="W6" s="24"/>
      <c r="Z6" s="21"/>
      <c r="AB6" s="27"/>
    </row>
    <row r="7" spans="7:28" ht="15" customHeight="1" x14ac:dyDescent="0.45">
      <c r="G7" s="20"/>
      <c r="I7" s="20"/>
      <c r="K7" s="20"/>
      <c r="M7" s="22"/>
      <c r="N7" s="22"/>
      <c r="Q7" s="24"/>
      <c r="S7" s="26"/>
      <c r="T7" s="23"/>
      <c r="W7" s="24"/>
      <c r="Z7" s="21"/>
      <c r="AB7" s="27"/>
    </row>
    <row r="8" spans="7:28" x14ac:dyDescent="0.25">
      <c r="I8" s="11"/>
    </row>
    <row r="12" spans="7:28" x14ac:dyDescent="0.25">
      <c r="L12" s="12"/>
    </row>
  </sheetData>
  <mergeCells count="9">
    <mergeCell ref="T5:T7"/>
    <mergeCell ref="W5:W7"/>
    <mergeCell ref="Z5:Z7"/>
    <mergeCell ref="AB5:AB7"/>
    <mergeCell ref="G6:G7"/>
    <mergeCell ref="I6:I7"/>
    <mergeCell ref="K6:K7"/>
    <mergeCell ref="M6:N7"/>
    <mergeCell ref="Q5:Q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ABE8-F55B-4679-8F3A-F2E074E38638}">
  <dimension ref="A1:J781"/>
  <sheetViews>
    <sheetView workbookViewId="0">
      <selection activeCell="G26" sqref="G26"/>
    </sheetView>
  </sheetViews>
  <sheetFormatPr defaultRowHeight="15" x14ac:dyDescent="0.25"/>
  <cols>
    <col min="1" max="1" width="15.140625" bestFit="1" customWidth="1"/>
    <col min="2" max="2" width="7.42578125" bestFit="1" customWidth="1"/>
    <col min="3" max="3" width="11.28515625" bestFit="1" customWidth="1"/>
    <col min="4" max="4" width="15" bestFit="1" customWidth="1"/>
    <col min="5" max="5" width="12.5703125" bestFit="1" customWidth="1"/>
    <col min="6" max="6" width="18.7109375" bestFit="1" customWidth="1"/>
    <col min="7" max="7" width="22.140625" bestFit="1" customWidth="1"/>
    <col min="8" max="8" width="20.7109375" bestFit="1" customWidth="1"/>
    <col min="9" max="9" width="9.5703125" bestFit="1" customWidth="1"/>
    <col min="10" max="10" width="11.57031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v>30</v>
      </c>
      <c r="C2" s="1" t="s">
        <v>11</v>
      </c>
      <c r="D2" s="1" t="s">
        <v>12</v>
      </c>
      <c r="E2" s="1" t="s">
        <v>13</v>
      </c>
      <c r="F2">
        <v>5</v>
      </c>
      <c r="G2">
        <v>7</v>
      </c>
      <c r="H2">
        <v>4</v>
      </c>
      <c r="I2">
        <v>45000</v>
      </c>
      <c r="J2" s="1" t="s">
        <v>834</v>
      </c>
    </row>
    <row r="3" spans="1:10" x14ac:dyDescent="0.25">
      <c r="A3" s="1" t="s">
        <v>14</v>
      </c>
      <c r="B3">
        <v>35</v>
      </c>
      <c r="C3" s="1" t="s">
        <v>15</v>
      </c>
      <c r="D3" s="1" t="s">
        <v>16</v>
      </c>
      <c r="E3" s="1" t="s">
        <v>17</v>
      </c>
      <c r="F3">
        <v>8</v>
      </c>
      <c r="G3">
        <v>8</v>
      </c>
      <c r="H3">
        <v>4.5</v>
      </c>
      <c r="I3">
        <v>60000</v>
      </c>
      <c r="J3" s="1" t="s">
        <v>834</v>
      </c>
    </row>
    <row r="4" spans="1:10" x14ac:dyDescent="0.25">
      <c r="A4" s="1" t="s">
        <v>18</v>
      </c>
      <c r="B4">
        <v>28</v>
      </c>
      <c r="C4" s="1" t="s">
        <v>11</v>
      </c>
      <c r="D4" s="1" t="s">
        <v>19</v>
      </c>
      <c r="E4" s="1" t="s">
        <v>20</v>
      </c>
      <c r="F4">
        <v>3</v>
      </c>
      <c r="G4">
        <v>6</v>
      </c>
      <c r="H4">
        <v>3.8</v>
      </c>
      <c r="I4">
        <v>52000</v>
      </c>
      <c r="J4" s="1" t="s">
        <v>834</v>
      </c>
    </row>
    <row r="5" spans="1:10" x14ac:dyDescent="0.25">
      <c r="A5" s="1" t="s">
        <v>21</v>
      </c>
      <c r="B5">
        <v>42</v>
      </c>
      <c r="C5" s="1" t="s">
        <v>11</v>
      </c>
      <c r="D5" s="1" t="s">
        <v>22</v>
      </c>
      <c r="E5" s="1" t="s">
        <v>23</v>
      </c>
      <c r="F5">
        <v>12</v>
      </c>
      <c r="G5">
        <v>9</v>
      </c>
      <c r="H5">
        <v>4.2</v>
      </c>
      <c r="I5">
        <v>70000</v>
      </c>
      <c r="J5" s="1" t="s">
        <v>835</v>
      </c>
    </row>
    <row r="6" spans="1:10" x14ac:dyDescent="0.25">
      <c r="A6" s="1" t="s">
        <v>24</v>
      </c>
      <c r="B6">
        <v>29</v>
      </c>
      <c r="C6" s="1" t="s">
        <v>11</v>
      </c>
      <c r="D6" s="1" t="s">
        <v>25</v>
      </c>
      <c r="E6" s="1" t="s">
        <v>26</v>
      </c>
      <c r="F6">
        <v>6</v>
      </c>
      <c r="G6">
        <v>7</v>
      </c>
      <c r="H6">
        <v>4.0999999999999996</v>
      </c>
      <c r="I6">
        <v>55000</v>
      </c>
      <c r="J6" s="1" t="s">
        <v>834</v>
      </c>
    </row>
    <row r="7" spans="1:10" x14ac:dyDescent="0.25">
      <c r="A7" s="1" t="s">
        <v>27</v>
      </c>
      <c r="B7">
        <v>40</v>
      </c>
      <c r="C7" s="1" t="s">
        <v>15</v>
      </c>
      <c r="D7" s="1" t="s">
        <v>28</v>
      </c>
      <c r="E7" s="1" t="s">
        <v>29</v>
      </c>
      <c r="F7">
        <v>10</v>
      </c>
      <c r="G7">
        <v>8</v>
      </c>
      <c r="H7">
        <v>4.3</v>
      </c>
      <c r="I7">
        <v>65000</v>
      </c>
      <c r="J7" s="1" t="s">
        <v>834</v>
      </c>
    </row>
    <row r="8" spans="1:10" x14ac:dyDescent="0.25">
      <c r="A8" s="1" t="s">
        <v>30</v>
      </c>
      <c r="B8">
        <v>33</v>
      </c>
      <c r="C8" s="1" t="s">
        <v>15</v>
      </c>
      <c r="D8" s="1" t="s">
        <v>16</v>
      </c>
      <c r="E8" s="1" t="s">
        <v>20</v>
      </c>
      <c r="F8">
        <v>4</v>
      </c>
      <c r="G8">
        <v>6</v>
      </c>
      <c r="H8">
        <v>3.5</v>
      </c>
      <c r="I8">
        <v>50000</v>
      </c>
      <c r="J8" s="1" t="s">
        <v>835</v>
      </c>
    </row>
    <row r="9" spans="1:10" x14ac:dyDescent="0.25">
      <c r="A9" s="1" t="s">
        <v>31</v>
      </c>
      <c r="B9">
        <v>45</v>
      </c>
      <c r="C9" s="1" t="s">
        <v>15</v>
      </c>
      <c r="D9" s="1" t="s">
        <v>19</v>
      </c>
      <c r="E9" s="1" t="s">
        <v>17</v>
      </c>
      <c r="F9">
        <v>15</v>
      </c>
      <c r="G9">
        <v>9</v>
      </c>
      <c r="H9">
        <v>4.8</v>
      </c>
      <c r="I9">
        <v>75000</v>
      </c>
      <c r="J9" s="1" t="s">
        <v>834</v>
      </c>
    </row>
    <row r="10" spans="1:10" x14ac:dyDescent="0.25">
      <c r="A10" s="1" t="s">
        <v>32</v>
      </c>
      <c r="B10">
        <v>31</v>
      </c>
      <c r="C10" s="1" t="s">
        <v>11</v>
      </c>
      <c r="D10" s="1" t="s">
        <v>12</v>
      </c>
      <c r="E10" s="1" t="s">
        <v>13</v>
      </c>
      <c r="F10">
        <v>7</v>
      </c>
      <c r="G10">
        <v>7</v>
      </c>
      <c r="H10">
        <v>4.2</v>
      </c>
      <c r="I10">
        <v>48000</v>
      </c>
      <c r="J10" s="1" t="s">
        <v>834</v>
      </c>
    </row>
    <row r="11" spans="1:10" x14ac:dyDescent="0.25">
      <c r="A11" s="1" t="s">
        <v>33</v>
      </c>
      <c r="B11">
        <v>37</v>
      </c>
      <c r="C11" s="1" t="s">
        <v>11</v>
      </c>
      <c r="D11" s="1" t="s">
        <v>25</v>
      </c>
      <c r="E11" s="1" t="s">
        <v>26</v>
      </c>
      <c r="F11">
        <v>9</v>
      </c>
      <c r="G11">
        <v>8</v>
      </c>
      <c r="H11">
        <v>4</v>
      </c>
      <c r="I11">
        <v>58000</v>
      </c>
      <c r="J11" s="1" t="s">
        <v>834</v>
      </c>
    </row>
    <row r="12" spans="1:10" x14ac:dyDescent="0.25">
      <c r="A12" s="1" t="s">
        <v>34</v>
      </c>
      <c r="B12">
        <v>32</v>
      </c>
      <c r="C12" s="1" t="s">
        <v>15</v>
      </c>
      <c r="D12" s="1" t="s">
        <v>28</v>
      </c>
      <c r="E12" s="1" t="s">
        <v>29</v>
      </c>
      <c r="F12">
        <v>6</v>
      </c>
      <c r="G12">
        <v>8</v>
      </c>
      <c r="H12">
        <v>4.4000000000000004</v>
      </c>
      <c r="I12">
        <v>62000</v>
      </c>
      <c r="J12" s="1" t="s">
        <v>835</v>
      </c>
    </row>
    <row r="13" spans="1:10" x14ac:dyDescent="0.25">
      <c r="A13" s="1" t="s">
        <v>35</v>
      </c>
      <c r="B13">
        <v>34</v>
      </c>
      <c r="C13" s="1" t="s">
        <v>11</v>
      </c>
      <c r="D13" s="1" t="s">
        <v>19</v>
      </c>
      <c r="E13" s="1" t="s">
        <v>20</v>
      </c>
      <c r="F13">
        <v>5</v>
      </c>
      <c r="G13">
        <v>7</v>
      </c>
      <c r="H13">
        <v>3.7</v>
      </c>
      <c r="I13">
        <v>53000</v>
      </c>
      <c r="J13" s="1" t="s">
        <v>834</v>
      </c>
    </row>
    <row r="14" spans="1:10" x14ac:dyDescent="0.25">
      <c r="A14" s="1" t="s">
        <v>36</v>
      </c>
      <c r="B14">
        <v>39</v>
      </c>
      <c r="C14" s="1" t="s">
        <v>11</v>
      </c>
      <c r="D14" s="1" t="s">
        <v>22</v>
      </c>
      <c r="E14" s="1" t="s">
        <v>23</v>
      </c>
      <c r="F14">
        <v>11</v>
      </c>
      <c r="G14">
        <v>9</v>
      </c>
      <c r="H14">
        <v>4</v>
      </c>
      <c r="I14">
        <v>68000</v>
      </c>
      <c r="J14" s="1" t="s">
        <v>834</v>
      </c>
    </row>
    <row r="15" spans="1:10" x14ac:dyDescent="0.25">
      <c r="A15" s="1" t="s">
        <v>37</v>
      </c>
      <c r="B15">
        <v>27</v>
      </c>
      <c r="C15" s="1" t="s">
        <v>11</v>
      </c>
      <c r="D15" s="1" t="s">
        <v>12</v>
      </c>
      <c r="E15" s="1" t="s">
        <v>13</v>
      </c>
      <c r="F15">
        <v>2</v>
      </c>
      <c r="G15">
        <v>6</v>
      </c>
      <c r="H15">
        <v>3.9</v>
      </c>
      <c r="I15">
        <v>46000</v>
      </c>
      <c r="J15" s="1" t="s">
        <v>834</v>
      </c>
    </row>
    <row r="16" spans="1:10" x14ac:dyDescent="0.25">
      <c r="A16" s="1" t="s">
        <v>38</v>
      </c>
      <c r="B16">
        <v>43</v>
      </c>
      <c r="C16" s="1" t="s">
        <v>15</v>
      </c>
      <c r="D16" s="1" t="s">
        <v>25</v>
      </c>
      <c r="E16" s="1" t="s">
        <v>26</v>
      </c>
      <c r="F16">
        <v>13</v>
      </c>
      <c r="G16">
        <v>8</v>
      </c>
      <c r="H16">
        <v>4.2</v>
      </c>
      <c r="I16">
        <v>70000</v>
      </c>
      <c r="J16" s="1" t="s">
        <v>835</v>
      </c>
    </row>
    <row r="17" spans="1:10" x14ac:dyDescent="0.25">
      <c r="A17" s="1" t="s">
        <v>39</v>
      </c>
      <c r="B17">
        <v>36</v>
      </c>
      <c r="C17" s="1" t="s">
        <v>11</v>
      </c>
      <c r="D17" s="1" t="s">
        <v>16</v>
      </c>
      <c r="E17" s="1" t="s">
        <v>17</v>
      </c>
      <c r="F17">
        <v>7</v>
      </c>
      <c r="G17">
        <v>7</v>
      </c>
      <c r="H17">
        <v>4.5999999999999996</v>
      </c>
      <c r="I17">
        <v>64000</v>
      </c>
      <c r="J17" s="1" t="s">
        <v>834</v>
      </c>
    </row>
    <row r="18" spans="1:10" x14ac:dyDescent="0.25">
      <c r="A18" s="1" t="s">
        <v>40</v>
      </c>
      <c r="B18">
        <v>29</v>
      </c>
      <c r="C18" s="1" t="s">
        <v>15</v>
      </c>
      <c r="D18" s="1" t="s">
        <v>19</v>
      </c>
      <c r="E18" s="1" t="s">
        <v>20</v>
      </c>
      <c r="F18">
        <v>4</v>
      </c>
      <c r="G18">
        <v>6</v>
      </c>
      <c r="H18">
        <v>3.4</v>
      </c>
      <c r="I18">
        <v>51000</v>
      </c>
      <c r="J18" s="1" t="s">
        <v>834</v>
      </c>
    </row>
    <row r="19" spans="1:10" x14ac:dyDescent="0.25">
      <c r="A19" s="1" t="s">
        <v>41</v>
      </c>
      <c r="B19">
        <v>38</v>
      </c>
      <c r="C19" s="1" t="s">
        <v>15</v>
      </c>
      <c r="D19" s="1" t="s">
        <v>22</v>
      </c>
      <c r="E19" s="1" t="s">
        <v>23</v>
      </c>
      <c r="F19">
        <v>9</v>
      </c>
      <c r="G19">
        <v>8</v>
      </c>
      <c r="H19">
        <v>4.0999999999999996</v>
      </c>
      <c r="I19">
        <v>67000</v>
      </c>
      <c r="J19" s="1" t="s">
        <v>835</v>
      </c>
    </row>
    <row r="20" spans="1:10" x14ac:dyDescent="0.25">
      <c r="A20" s="1" t="s">
        <v>42</v>
      </c>
      <c r="B20">
        <v>30</v>
      </c>
      <c r="C20" s="1" t="s">
        <v>11</v>
      </c>
      <c r="D20" s="1" t="s">
        <v>12</v>
      </c>
      <c r="E20" s="1" t="s">
        <v>13</v>
      </c>
      <c r="F20">
        <v>6</v>
      </c>
      <c r="G20">
        <v>7</v>
      </c>
      <c r="H20">
        <v>3.8</v>
      </c>
      <c r="I20">
        <v>49000</v>
      </c>
      <c r="J20" s="1" t="s">
        <v>834</v>
      </c>
    </row>
    <row r="21" spans="1:10" x14ac:dyDescent="0.25">
      <c r="A21" s="1" t="s">
        <v>43</v>
      </c>
      <c r="B21">
        <v>41</v>
      </c>
      <c r="C21" s="1" t="s">
        <v>11</v>
      </c>
      <c r="D21" s="1" t="s">
        <v>25</v>
      </c>
      <c r="E21" s="1" t="s">
        <v>26</v>
      </c>
      <c r="F21">
        <v>10</v>
      </c>
      <c r="G21">
        <v>8</v>
      </c>
      <c r="H21">
        <v>4.3</v>
      </c>
      <c r="I21">
        <v>66000</v>
      </c>
      <c r="J21" s="1" t="s">
        <v>834</v>
      </c>
    </row>
    <row r="22" spans="1:10" x14ac:dyDescent="0.25">
      <c r="A22" s="1" t="s">
        <v>44</v>
      </c>
      <c r="B22">
        <v>44</v>
      </c>
      <c r="C22" s="1" t="s">
        <v>11</v>
      </c>
      <c r="D22" s="1" t="s">
        <v>19</v>
      </c>
      <c r="E22" s="1" t="s">
        <v>17</v>
      </c>
      <c r="F22">
        <v>11</v>
      </c>
      <c r="G22">
        <v>9</v>
      </c>
      <c r="H22">
        <v>4.5</v>
      </c>
      <c r="I22">
        <v>72000</v>
      </c>
      <c r="J22" s="1" t="s">
        <v>834</v>
      </c>
    </row>
    <row r="23" spans="1:10" x14ac:dyDescent="0.25">
      <c r="A23" s="1" t="s">
        <v>45</v>
      </c>
      <c r="B23">
        <v>26</v>
      </c>
      <c r="C23" s="1" t="s">
        <v>15</v>
      </c>
      <c r="D23" s="1" t="s">
        <v>28</v>
      </c>
      <c r="E23" s="1" t="s">
        <v>29</v>
      </c>
      <c r="F23">
        <v>3</v>
      </c>
      <c r="G23">
        <v>7</v>
      </c>
      <c r="H23">
        <v>3</v>
      </c>
      <c r="I23">
        <v>46000</v>
      </c>
      <c r="J23" s="1" t="s">
        <v>835</v>
      </c>
    </row>
    <row r="24" spans="1:10" x14ac:dyDescent="0.25">
      <c r="A24" s="1" t="s">
        <v>46</v>
      </c>
      <c r="B24">
        <v>32</v>
      </c>
      <c r="C24" s="1" t="s">
        <v>11</v>
      </c>
      <c r="D24" s="1" t="s">
        <v>25</v>
      </c>
      <c r="E24" s="1" t="s">
        <v>26</v>
      </c>
      <c r="F24">
        <v>7</v>
      </c>
      <c r="G24">
        <v>8</v>
      </c>
      <c r="H24">
        <v>3.5</v>
      </c>
      <c r="I24">
        <v>57000</v>
      </c>
      <c r="J24" s="1" t="s">
        <v>834</v>
      </c>
    </row>
    <row r="25" spans="1:10" x14ac:dyDescent="0.25">
      <c r="A25" s="1" t="s">
        <v>47</v>
      </c>
      <c r="B25">
        <v>36</v>
      </c>
      <c r="C25" s="1" t="s">
        <v>11</v>
      </c>
      <c r="D25" s="1" t="s">
        <v>12</v>
      </c>
      <c r="E25" s="1" t="s">
        <v>13</v>
      </c>
      <c r="F25">
        <v>6</v>
      </c>
      <c r="G25">
        <v>7</v>
      </c>
      <c r="H25">
        <v>3.7</v>
      </c>
      <c r="I25">
        <v>48000</v>
      </c>
      <c r="J25" s="1" t="s">
        <v>834</v>
      </c>
    </row>
    <row r="26" spans="1:10" x14ac:dyDescent="0.25">
      <c r="A26" s="1" t="s">
        <v>48</v>
      </c>
      <c r="B26">
        <v>30</v>
      </c>
      <c r="C26" s="1" t="s">
        <v>11</v>
      </c>
      <c r="D26" s="1" t="s">
        <v>16</v>
      </c>
      <c r="E26" s="1" t="s">
        <v>17</v>
      </c>
      <c r="F26">
        <v>8</v>
      </c>
      <c r="G26">
        <v>8</v>
      </c>
      <c r="H26">
        <v>4</v>
      </c>
      <c r="I26">
        <v>55000</v>
      </c>
      <c r="J26" s="1" t="s">
        <v>834</v>
      </c>
    </row>
    <row r="27" spans="1:10" x14ac:dyDescent="0.25">
      <c r="A27" s="1" t="s">
        <v>49</v>
      </c>
      <c r="B27">
        <v>35</v>
      </c>
      <c r="C27" s="1" t="s">
        <v>11</v>
      </c>
      <c r="D27" s="1" t="s">
        <v>19</v>
      </c>
      <c r="E27" s="1" t="s">
        <v>20</v>
      </c>
      <c r="F27">
        <v>7</v>
      </c>
      <c r="G27">
        <v>7</v>
      </c>
      <c r="H27">
        <v>3.9</v>
      </c>
      <c r="I27">
        <v>58000</v>
      </c>
      <c r="J27" s="1" t="s">
        <v>834</v>
      </c>
    </row>
    <row r="28" spans="1:10" x14ac:dyDescent="0.25">
      <c r="A28" s="1" t="s">
        <v>50</v>
      </c>
      <c r="B28">
        <v>31</v>
      </c>
      <c r="C28" s="1" t="s">
        <v>15</v>
      </c>
      <c r="D28" s="1" t="s">
        <v>22</v>
      </c>
      <c r="E28" s="1" t="s">
        <v>23</v>
      </c>
      <c r="F28">
        <v>5</v>
      </c>
      <c r="G28">
        <v>6</v>
      </c>
      <c r="H28">
        <v>3.2</v>
      </c>
      <c r="I28">
        <v>51000</v>
      </c>
      <c r="J28" s="1" t="s">
        <v>834</v>
      </c>
    </row>
    <row r="29" spans="1:10" x14ac:dyDescent="0.25">
      <c r="A29" s="1" t="s">
        <v>51</v>
      </c>
      <c r="B29">
        <v>38</v>
      </c>
      <c r="C29" s="1" t="s">
        <v>11</v>
      </c>
      <c r="D29" s="1" t="s">
        <v>12</v>
      </c>
      <c r="E29" s="1" t="s">
        <v>13</v>
      </c>
      <c r="F29">
        <v>9</v>
      </c>
      <c r="G29">
        <v>8</v>
      </c>
      <c r="H29">
        <v>4.2</v>
      </c>
      <c r="I29">
        <v>54000</v>
      </c>
      <c r="J29" s="1" t="s">
        <v>834</v>
      </c>
    </row>
    <row r="30" spans="1:10" x14ac:dyDescent="0.25">
      <c r="A30" s="1" t="s">
        <v>52</v>
      </c>
      <c r="B30">
        <v>33</v>
      </c>
      <c r="C30" s="1" t="s">
        <v>11</v>
      </c>
      <c r="D30" s="1" t="s">
        <v>25</v>
      </c>
      <c r="E30" s="1" t="s">
        <v>26</v>
      </c>
      <c r="F30">
        <v>8</v>
      </c>
      <c r="G30">
        <v>7</v>
      </c>
      <c r="H30">
        <v>4.0999999999999996</v>
      </c>
      <c r="I30">
        <v>57000</v>
      </c>
      <c r="J30" s="1" t="s">
        <v>834</v>
      </c>
    </row>
    <row r="31" spans="1:10" x14ac:dyDescent="0.25">
      <c r="A31" s="1" t="s">
        <v>53</v>
      </c>
      <c r="B31">
        <v>46</v>
      </c>
      <c r="C31" s="1" t="s">
        <v>11</v>
      </c>
      <c r="D31" s="1" t="s">
        <v>28</v>
      </c>
      <c r="E31" s="1" t="s">
        <v>29</v>
      </c>
      <c r="F31">
        <v>12</v>
      </c>
      <c r="G31">
        <v>8</v>
      </c>
      <c r="H31">
        <v>4.5</v>
      </c>
      <c r="I31">
        <v>72000</v>
      </c>
      <c r="J31" s="1" t="s">
        <v>835</v>
      </c>
    </row>
    <row r="32" spans="1:10" x14ac:dyDescent="0.25">
      <c r="A32" s="1" t="s">
        <v>54</v>
      </c>
      <c r="B32">
        <v>29</v>
      </c>
      <c r="C32" s="1" t="s">
        <v>15</v>
      </c>
      <c r="D32" s="1" t="s">
        <v>16</v>
      </c>
      <c r="E32" s="1" t="s">
        <v>20</v>
      </c>
      <c r="F32">
        <v>4</v>
      </c>
      <c r="G32">
        <v>6</v>
      </c>
      <c r="H32">
        <v>3.3</v>
      </c>
      <c r="I32">
        <v>49000</v>
      </c>
      <c r="J32" s="1" t="s">
        <v>834</v>
      </c>
    </row>
    <row r="33" spans="1:10" x14ac:dyDescent="0.25">
      <c r="A33" s="1" t="s">
        <v>55</v>
      </c>
      <c r="B33">
        <v>40</v>
      </c>
      <c r="C33" s="1" t="s">
        <v>11</v>
      </c>
      <c r="D33" s="1" t="s">
        <v>19</v>
      </c>
      <c r="E33" s="1" t="s">
        <v>17</v>
      </c>
      <c r="F33">
        <v>10</v>
      </c>
      <c r="G33">
        <v>8</v>
      </c>
      <c r="H33">
        <v>4.3</v>
      </c>
      <c r="I33">
        <v>66000</v>
      </c>
      <c r="J33" s="1" t="s">
        <v>834</v>
      </c>
    </row>
    <row r="34" spans="1:10" x14ac:dyDescent="0.25">
      <c r="A34" s="1" t="s">
        <v>56</v>
      </c>
      <c r="B34">
        <v>37</v>
      </c>
      <c r="C34" s="1" t="s">
        <v>15</v>
      </c>
      <c r="D34" s="1" t="s">
        <v>12</v>
      </c>
      <c r="E34" s="1" t="s">
        <v>13</v>
      </c>
      <c r="F34">
        <v>6</v>
      </c>
      <c r="G34">
        <v>7</v>
      </c>
      <c r="H34">
        <v>4</v>
      </c>
      <c r="I34">
        <v>52000</v>
      </c>
      <c r="J34" s="1" t="s">
        <v>834</v>
      </c>
    </row>
    <row r="35" spans="1:10" x14ac:dyDescent="0.25">
      <c r="A35" s="1" t="s">
        <v>57</v>
      </c>
      <c r="B35">
        <v>32</v>
      </c>
      <c r="C35" s="1" t="s">
        <v>11</v>
      </c>
      <c r="D35" s="1" t="s">
        <v>22</v>
      </c>
      <c r="E35" s="1" t="s">
        <v>23</v>
      </c>
      <c r="F35">
        <v>5</v>
      </c>
      <c r="G35">
        <v>6</v>
      </c>
      <c r="H35">
        <v>3.6</v>
      </c>
      <c r="I35">
        <v>55000</v>
      </c>
      <c r="J35" s="1" t="s">
        <v>834</v>
      </c>
    </row>
    <row r="36" spans="1:10" x14ac:dyDescent="0.25">
      <c r="A36" s="1" t="s">
        <v>58</v>
      </c>
      <c r="B36">
        <v>41</v>
      </c>
      <c r="C36" s="1" t="s">
        <v>11</v>
      </c>
      <c r="D36" s="1" t="s">
        <v>25</v>
      </c>
      <c r="E36" s="1" t="s">
        <v>26</v>
      </c>
      <c r="F36">
        <v>9</v>
      </c>
      <c r="G36">
        <v>8</v>
      </c>
      <c r="H36">
        <v>4.4000000000000004</v>
      </c>
      <c r="I36">
        <v>59000</v>
      </c>
      <c r="J36" s="1" t="s">
        <v>834</v>
      </c>
    </row>
    <row r="37" spans="1:10" x14ac:dyDescent="0.25">
      <c r="A37" s="1" t="s">
        <v>59</v>
      </c>
      <c r="B37">
        <v>31</v>
      </c>
      <c r="C37" s="1" t="s">
        <v>11</v>
      </c>
      <c r="D37" s="1" t="s">
        <v>16</v>
      </c>
      <c r="E37" s="1" t="s">
        <v>17</v>
      </c>
      <c r="F37">
        <v>7</v>
      </c>
      <c r="G37">
        <v>7</v>
      </c>
      <c r="H37">
        <v>4.2</v>
      </c>
      <c r="I37">
        <v>56000</v>
      </c>
      <c r="J37" s="1" t="s">
        <v>834</v>
      </c>
    </row>
    <row r="38" spans="1:10" x14ac:dyDescent="0.25">
      <c r="A38" s="1" t="s">
        <v>60</v>
      </c>
      <c r="B38">
        <v>43</v>
      </c>
      <c r="C38" s="1" t="s">
        <v>15</v>
      </c>
      <c r="D38" s="1" t="s">
        <v>19</v>
      </c>
      <c r="E38" s="1" t="s">
        <v>20</v>
      </c>
      <c r="F38">
        <v>11</v>
      </c>
      <c r="G38">
        <v>9</v>
      </c>
      <c r="H38">
        <v>4.5999999999999996</v>
      </c>
      <c r="I38">
        <v>71000</v>
      </c>
      <c r="J38" s="1" t="s">
        <v>835</v>
      </c>
    </row>
    <row r="39" spans="1:10" x14ac:dyDescent="0.25">
      <c r="A39" s="1" t="s">
        <v>61</v>
      </c>
      <c r="B39">
        <v>28</v>
      </c>
      <c r="C39" s="1" t="s">
        <v>11</v>
      </c>
      <c r="D39" s="1" t="s">
        <v>28</v>
      </c>
      <c r="E39" s="1" t="s">
        <v>29</v>
      </c>
      <c r="F39">
        <v>4</v>
      </c>
      <c r="G39">
        <v>6</v>
      </c>
      <c r="H39">
        <v>3.7</v>
      </c>
      <c r="I39">
        <v>50000</v>
      </c>
      <c r="J39" s="1" t="s">
        <v>834</v>
      </c>
    </row>
    <row r="40" spans="1:10" x14ac:dyDescent="0.25">
      <c r="A40" s="1" t="s">
        <v>62</v>
      </c>
      <c r="B40">
        <v>34</v>
      </c>
      <c r="C40" s="1" t="s">
        <v>11</v>
      </c>
      <c r="D40" s="1" t="s">
        <v>12</v>
      </c>
      <c r="E40" s="1" t="s">
        <v>13</v>
      </c>
      <c r="F40">
        <v>6</v>
      </c>
      <c r="G40">
        <v>7</v>
      </c>
      <c r="H40">
        <v>3.9</v>
      </c>
      <c r="I40">
        <v>53000</v>
      </c>
      <c r="J40" s="1" t="s">
        <v>834</v>
      </c>
    </row>
    <row r="41" spans="1:10" x14ac:dyDescent="0.25">
      <c r="A41" s="1" t="s">
        <v>63</v>
      </c>
      <c r="B41">
        <v>27</v>
      </c>
      <c r="C41" s="1" t="s">
        <v>11</v>
      </c>
      <c r="D41" s="1" t="s">
        <v>25</v>
      </c>
      <c r="E41" s="1" t="s">
        <v>26</v>
      </c>
      <c r="F41">
        <v>3</v>
      </c>
      <c r="G41">
        <v>6</v>
      </c>
      <c r="H41">
        <v>3.3</v>
      </c>
      <c r="I41">
        <v>47000</v>
      </c>
      <c r="J41" s="1" t="s">
        <v>834</v>
      </c>
    </row>
    <row r="42" spans="1:10" x14ac:dyDescent="0.25">
      <c r="A42" s="1" t="s">
        <v>64</v>
      </c>
      <c r="B42">
        <v>38</v>
      </c>
      <c r="C42" s="1" t="s">
        <v>15</v>
      </c>
      <c r="D42" s="1" t="s">
        <v>22</v>
      </c>
      <c r="E42" s="1" t="s">
        <v>23</v>
      </c>
      <c r="F42">
        <v>8</v>
      </c>
      <c r="G42">
        <v>8</v>
      </c>
      <c r="H42">
        <v>4.0999999999999996</v>
      </c>
      <c r="I42">
        <v>58000</v>
      </c>
      <c r="J42" s="1" t="s">
        <v>834</v>
      </c>
    </row>
    <row r="43" spans="1:10" x14ac:dyDescent="0.25">
      <c r="A43" s="1" t="s">
        <v>65</v>
      </c>
      <c r="B43">
        <v>35</v>
      </c>
      <c r="C43" s="1" t="s">
        <v>11</v>
      </c>
      <c r="D43" s="1" t="s">
        <v>19</v>
      </c>
      <c r="E43" s="1" t="s">
        <v>17</v>
      </c>
      <c r="F43">
        <v>9</v>
      </c>
      <c r="G43">
        <v>8</v>
      </c>
      <c r="H43">
        <v>4.4000000000000004</v>
      </c>
      <c r="I43">
        <v>64000</v>
      </c>
      <c r="J43" s="1" t="s">
        <v>834</v>
      </c>
    </row>
    <row r="44" spans="1:10" x14ac:dyDescent="0.25">
      <c r="A44" s="1" t="s">
        <v>66</v>
      </c>
      <c r="B44">
        <v>36</v>
      </c>
      <c r="C44" s="1" t="s">
        <v>11</v>
      </c>
      <c r="D44" s="1" t="s">
        <v>12</v>
      </c>
      <c r="E44" s="1" t="s">
        <v>13</v>
      </c>
      <c r="F44">
        <v>7</v>
      </c>
      <c r="G44">
        <v>7</v>
      </c>
      <c r="H44">
        <v>4</v>
      </c>
      <c r="I44">
        <v>52000</v>
      </c>
      <c r="J44" s="1" t="s">
        <v>834</v>
      </c>
    </row>
    <row r="45" spans="1:10" x14ac:dyDescent="0.25">
      <c r="A45" s="1" t="s">
        <v>67</v>
      </c>
      <c r="B45">
        <v>39</v>
      </c>
      <c r="C45" s="1" t="s">
        <v>11</v>
      </c>
      <c r="D45" s="1" t="s">
        <v>25</v>
      </c>
      <c r="E45" s="1" t="s">
        <v>26</v>
      </c>
      <c r="F45">
        <v>10</v>
      </c>
      <c r="G45">
        <v>8</v>
      </c>
      <c r="H45">
        <v>4.3</v>
      </c>
      <c r="I45">
        <v>59000</v>
      </c>
      <c r="J45" s="1" t="s">
        <v>834</v>
      </c>
    </row>
    <row r="46" spans="1:10" x14ac:dyDescent="0.25">
      <c r="A46" s="1" t="s">
        <v>68</v>
      </c>
      <c r="B46">
        <v>32</v>
      </c>
      <c r="C46" s="1" t="s">
        <v>15</v>
      </c>
      <c r="D46" s="1" t="s">
        <v>16</v>
      </c>
      <c r="E46" s="1" t="s">
        <v>17</v>
      </c>
      <c r="F46">
        <v>6</v>
      </c>
      <c r="G46">
        <v>7</v>
      </c>
      <c r="H46">
        <v>3.5</v>
      </c>
      <c r="I46">
        <v>51000</v>
      </c>
      <c r="J46" s="1" t="s">
        <v>834</v>
      </c>
    </row>
    <row r="47" spans="1:10" x14ac:dyDescent="0.25">
      <c r="A47" s="1" t="s">
        <v>69</v>
      </c>
      <c r="B47">
        <v>30</v>
      </c>
      <c r="C47" s="1" t="s">
        <v>11</v>
      </c>
      <c r="D47" s="1" t="s">
        <v>28</v>
      </c>
      <c r="E47" s="1" t="s">
        <v>29</v>
      </c>
      <c r="F47">
        <v>5</v>
      </c>
      <c r="G47">
        <v>6</v>
      </c>
      <c r="H47">
        <v>3.8</v>
      </c>
      <c r="I47">
        <v>54000</v>
      </c>
      <c r="J47" s="1" t="s">
        <v>834</v>
      </c>
    </row>
    <row r="48" spans="1:10" x14ac:dyDescent="0.25">
      <c r="A48" s="1" t="s">
        <v>70</v>
      </c>
      <c r="B48">
        <v>44</v>
      </c>
      <c r="C48" s="1" t="s">
        <v>11</v>
      </c>
      <c r="D48" s="1" t="s">
        <v>19</v>
      </c>
      <c r="E48" s="1" t="s">
        <v>20</v>
      </c>
      <c r="F48">
        <v>11</v>
      </c>
      <c r="G48">
        <v>9</v>
      </c>
      <c r="H48">
        <v>4.7</v>
      </c>
      <c r="I48">
        <v>68000</v>
      </c>
      <c r="J48" s="1" t="s">
        <v>834</v>
      </c>
    </row>
    <row r="49" spans="1:10" x14ac:dyDescent="0.25">
      <c r="A49" s="1" t="s">
        <v>71</v>
      </c>
      <c r="B49">
        <v>26</v>
      </c>
      <c r="C49" s="1" t="s">
        <v>15</v>
      </c>
      <c r="D49" s="1" t="s">
        <v>12</v>
      </c>
      <c r="E49" s="1" t="s">
        <v>13</v>
      </c>
      <c r="F49">
        <v>3</v>
      </c>
      <c r="G49">
        <v>6</v>
      </c>
      <c r="H49">
        <v>3.4</v>
      </c>
      <c r="I49">
        <v>47000</v>
      </c>
      <c r="J49" s="1" t="s">
        <v>834</v>
      </c>
    </row>
    <row r="50" spans="1:10" x14ac:dyDescent="0.25">
      <c r="A50" s="1" t="s">
        <v>72</v>
      </c>
      <c r="B50">
        <v>29</v>
      </c>
      <c r="C50" s="1" t="s">
        <v>11</v>
      </c>
      <c r="D50" s="1" t="s">
        <v>25</v>
      </c>
      <c r="E50" s="1" t="s">
        <v>26</v>
      </c>
      <c r="F50">
        <v>4</v>
      </c>
      <c r="G50">
        <v>7</v>
      </c>
      <c r="H50">
        <v>3.6</v>
      </c>
      <c r="I50">
        <v>51000</v>
      </c>
      <c r="J50" s="1" t="s">
        <v>834</v>
      </c>
    </row>
    <row r="51" spans="1:10" x14ac:dyDescent="0.25">
      <c r="A51" s="1" t="s">
        <v>73</v>
      </c>
      <c r="B51">
        <v>34</v>
      </c>
      <c r="C51" s="1" t="s">
        <v>11</v>
      </c>
      <c r="D51" s="1" t="s">
        <v>16</v>
      </c>
      <c r="E51" s="1" t="s">
        <v>20</v>
      </c>
      <c r="F51">
        <v>6</v>
      </c>
      <c r="G51">
        <v>7</v>
      </c>
      <c r="H51">
        <v>3.9</v>
      </c>
      <c r="I51">
        <v>56000</v>
      </c>
      <c r="J51" s="1" t="s">
        <v>834</v>
      </c>
    </row>
    <row r="52" spans="1:10" x14ac:dyDescent="0.25">
      <c r="A52" s="1" t="s">
        <v>74</v>
      </c>
      <c r="B52">
        <v>31</v>
      </c>
      <c r="C52" s="1" t="s">
        <v>11</v>
      </c>
      <c r="D52" s="1" t="s">
        <v>12</v>
      </c>
      <c r="E52" s="1" t="s">
        <v>13</v>
      </c>
      <c r="F52">
        <v>8</v>
      </c>
      <c r="G52">
        <v>7</v>
      </c>
      <c r="H52">
        <v>4.0999999999999996</v>
      </c>
      <c r="I52">
        <v>46000</v>
      </c>
      <c r="J52" s="1" t="s">
        <v>834</v>
      </c>
    </row>
    <row r="53" spans="1:10" x14ac:dyDescent="0.25">
      <c r="A53" s="1" t="s">
        <v>75</v>
      </c>
      <c r="B53">
        <v>27</v>
      </c>
      <c r="C53" s="1" t="s">
        <v>11</v>
      </c>
      <c r="D53" s="1" t="s">
        <v>19</v>
      </c>
      <c r="E53" s="1" t="s">
        <v>20</v>
      </c>
      <c r="F53">
        <v>3</v>
      </c>
      <c r="G53">
        <v>6</v>
      </c>
      <c r="H53">
        <v>3.6</v>
      </c>
      <c r="I53">
        <v>49000</v>
      </c>
      <c r="J53" s="1" t="s">
        <v>834</v>
      </c>
    </row>
    <row r="54" spans="1:10" x14ac:dyDescent="0.25">
      <c r="A54" s="1" t="s">
        <v>76</v>
      </c>
      <c r="B54">
        <v>36</v>
      </c>
      <c r="C54" s="1" t="s">
        <v>15</v>
      </c>
      <c r="D54" s="1" t="s">
        <v>25</v>
      </c>
      <c r="E54" s="1" t="s">
        <v>26</v>
      </c>
      <c r="F54">
        <v>12</v>
      </c>
      <c r="G54">
        <v>9</v>
      </c>
      <c r="H54">
        <v>4.4000000000000004</v>
      </c>
      <c r="I54">
        <v>64000</v>
      </c>
      <c r="J54" s="1" t="s">
        <v>835</v>
      </c>
    </row>
    <row r="55" spans="1:10" x14ac:dyDescent="0.25">
      <c r="A55" s="1" t="s">
        <v>77</v>
      </c>
      <c r="B55">
        <v>29</v>
      </c>
      <c r="C55" s="1" t="s">
        <v>15</v>
      </c>
      <c r="D55" s="1" t="s">
        <v>22</v>
      </c>
      <c r="E55" s="1" t="s">
        <v>23</v>
      </c>
      <c r="F55">
        <v>4</v>
      </c>
      <c r="G55">
        <v>7</v>
      </c>
      <c r="H55">
        <v>3.2</v>
      </c>
      <c r="I55">
        <v>52000</v>
      </c>
      <c r="J55" s="1" t="s">
        <v>834</v>
      </c>
    </row>
    <row r="56" spans="1:10" x14ac:dyDescent="0.25">
      <c r="A56" s="1" t="s">
        <v>78</v>
      </c>
      <c r="B56">
        <v>45</v>
      </c>
      <c r="C56" s="1" t="s">
        <v>11</v>
      </c>
      <c r="D56" s="1" t="s">
        <v>16</v>
      </c>
      <c r="E56" s="1" t="s">
        <v>17</v>
      </c>
      <c r="F56">
        <v>15</v>
      </c>
      <c r="G56">
        <v>8</v>
      </c>
      <c r="H56">
        <v>4.5</v>
      </c>
      <c r="I56">
        <v>69000</v>
      </c>
      <c r="J56" s="1" t="s">
        <v>834</v>
      </c>
    </row>
    <row r="57" spans="1:10" x14ac:dyDescent="0.25">
      <c r="A57" s="1" t="s">
        <v>79</v>
      </c>
      <c r="B57">
        <v>37</v>
      </c>
      <c r="C57" s="1" t="s">
        <v>11</v>
      </c>
      <c r="D57" s="1" t="s">
        <v>28</v>
      </c>
      <c r="E57" s="1" t="s">
        <v>29</v>
      </c>
      <c r="F57">
        <v>8</v>
      </c>
      <c r="G57">
        <v>7</v>
      </c>
      <c r="H57">
        <v>3.9</v>
      </c>
      <c r="I57">
        <v>58000</v>
      </c>
      <c r="J57" s="1" t="s">
        <v>834</v>
      </c>
    </row>
    <row r="58" spans="1:10" x14ac:dyDescent="0.25">
      <c r="A58" s="1" t="s">
        <v>80</v>
      </c>
      <c r="B58">
        <v>33</v>
      </c>
      <c r="C58" s="1" t="s">
        <v>11</v>
      </c>
      <c r="D58" s="1" t="s">
        <v>12</v>
      </c>
      <c r="E58" s="1" t="s">
        <v>13</v>
      </c>
      <c r="F58">
        <v>7</v>
      </c>
      <c r="G58">
        <v>7</v>
      </c>
      <c r="H58">
        <v>4</v>
      </c>
      <c r="I58">
        <v>55000</v>
      </c>
      <c r="J58" s="1" t="s">
        <v>834</v>
      </c>
    </row>
    <row r="59" spans="1:10" x14ac:dyDescent="0.25">
      <c r="A59" s="1" t="s">
        <v>81</v>
      </c>
      <c r="B59">
        <v>40</v>
      </c>
      <c r="C59" s="1" t="s">
        <v>15</v>
      </c>
      <c r="D59" s="1" t="s">
        <v>19</v>
      </c>
      <c r="E59" s="1" t="s">
        <v>17</v>
      </c>
      <c r="F59">
        <v>11</v>
      </c>
      <c r="G59">
        <v>9</v>
      </c>
      <c r="H59">
        <v>4.3</v>
      </c>
      <c r="I59">
        <v>66000</v>
      </c>
      <c r="J59" s="1" t="s">
        <v>835</v>
      </c>
    </row>
    <row r="60" spans="1:10" x14ac:dyDescent="0.25">
      <c r="A60" s="1" t="s">
        <v>82</v>
      </c>
      <c r="B60">
        <v>34</v>
      </c>
      <c r="C60" s="1" t="s">
        <v>11</v>
      </c>
      <c r="D60" s="1" t="s">
        <v>25</v>
      </c>
      <c r="E60" s="1" t="s">
        <v>26</v>
      </c>
      <c r="F60">
        <v>6</v>
      </c>
      <c r="G60">
        <v>8</v>
      </c>
      <c r="H60">
        <v>4.2</v>
      </c>
      <c r="I60">
        <v>57000</v>
      </c>
      <c r="J60" s="1" t="s">
        <v>834</v>
      </c>
    </row>
    <row r="61" spans="1:10" x14ac:dyDescent="0.25">
      <c r="A61" s="1" t="s">
        <v>83</v>
      </c>
      <c r="B61">
        <v>28</v>
      </c>
      <c r="C61" s="1" t="s">
        <v>11</v>
      </c>
      <c r="D61" s="1" t="s">
        <v>16</v>
      </c>
      <c r="E61" s="1" t="s">
        <v>20</v>
      </c>
      <c r="F61">
        <v>4</v>
      </c>
      <c r="G61">
        <v>6</v>
      </c>
      <c r="H61">
        <v>3.7</v>
      </c>
      <c r="I61">
        <v>51000</v>
      </c>
      <c r="J61" s="1" t="s">
        <v>834</v>
      </c>
    </row>
    <row r="62" spans="1:10" x14ac:dyDescent="0.25">
      <c r="A62" s="1" t="s">
        <v>84</v>
      </c>
      <c r="B62">
        <v>39</v>
      </c>
      <c r="C62" s="1" t="s">
        <v>11</v>
      </c>
      <c r="D62" s="1" t="s">
        <v>28</v>
      </c>
      <c r="E62" s="1" t="s">
        <v>29</v>
      </c>
      <c r="F62">
        <v>9</v>
      </c>
      <c r="G62">
        <v>8</v>
      </c>
      <c r="H62">
        <v>4.0999999999999996</v>
      </c>
      <c r="I62">
        <v>59000</v>
      </c>
      <c r="J62" s="1" t="s">
        <v>834</v>
      </c>
    </row>
    <row r="63" spans="1:10" x14ac:dyDescent="0.25">
      <c r="A63" s="1" t="s">
        <v>85</v>
      </c>
      <c r="B63">
        <v>31</v>
      </c>
      <c r="C63" s="1" t="s">
        <v>15</v>
      </c>
      <c r="D63" s="1" t="s">
        <v>22</v>
      </c>
      <c r="E63" s="1" t="s">
        <v>23</v>
      </c>
      <c r="F63">
        <v>7</v>
      </c>
      <c r="G63">
        <v>7</v>
      </c>
      <c r="H63">
        <v>3.8</v>
      </c>
      <c r="I63">
        <v>55000</v>
      </c>
      <c r="J63" s="1" t="s">
        <v>834</v>
      </c>
    </row>
    <row r="64" spans="1:10" x14ac:dyDescent="0.25">
      <c r="A64" s="1" t="s">
        <v>86</v>
      </c>
      <c r="B64">
        <v>42</v>
      </c>
      <c r="C64" s="1" t="s">
        <v>11</v>
      </c>
      <c r="D64" s="1" t="s">
        <v>12</v>
      </c>
      <c r="E64" s="1" t="s">
        <v>13</v>
      </c>
      <c r="F64">
        <v>10</v>
      </c>
      <c r="G64">
        <v>8</v>
      </c>
      <c r="H64">
        <v>4.4000000000000004</v>
      </c>
      <c r="I64">
        <v>60000</v>
      </c>
      <c r="J64" s="1" t="s">
        <v>834</v>
      </c>
    </row>
    <row r="65" spans="1:10" x14ac:dyDescent="0.25">
      <c r="A65" s="1" t="s">
        <v>87</v>
      </c>
      <c r="B65">
        <v>35</v>
      </c>
      <c r="C65" s="1" t="s">
        <v>15</v>
      </c>
      <c r="D65" s="1" t="s">
        <v>25</v>
      </c>
      <c r="E65" s="1" t="s">
        <v>26</v>
      </c>
      <c r="F65">
        <v>6</v>
      </c>
      <c r="G65">
        <v>7</v>
      </c>
      <c r="H65">
        <v>3.5</v>
      </c>
      <c r="I65">
        <v>53000</v>
      </c>
      <c r="J65" s="1" t="s">
        <v>834</v>
      </c>
    </row>
    <row r="66" spans="1:10" x14ac:dyDescent="0.25">
      <c r="A66" s="1" t="s">
        <v>88</v>
      </c>
      <c r="B66">
        <v>44</v>
      </c>
      <c r="C66" s="1" t="s">
        <v>11</v>
      </c>
      <c r="D66" s="1" t="s">
        <v>19</v>
      </c>
      <c r="E66" s="1" t="s">
        <v>17</v>
      </c>
      <c r="F66">
        <v>13</v>
      </c>
      <c r="G66">
        <v>9</v>
      </c>
      <c r="H66">
        <v>4.5999999999999996</v>
      </c>
      <c r="I66">
        <v>68000</v>
      </c>
      <c r="J66" s="1" t="s">
        <v>834</v>
      </c>
    </row>
    <row r="67" spans="1:10" x14ac:dyDescent="0.25">
      <c r="A67" s="1" t="s">
        <v>89</v>
      </c>
      <c r="B67">
        <v>30</v>
      </c>
      <c r="C67" s="1" t="s">
        <v>11</v>
      </c>
      <c r="D67" s="1" t="s">
        <v>16</v>
      </c>
      <c r="E67" s="1" t="s">
        <v>20</v>
      </c>
      <c r="F67">
        <v>5</v>
      </c>
      <c r="G67">
        <v>6</v>
      </c>
      <c r="H67">
        <v>3.7</v>
      </c>
      <c r="I67">
        <v>52000</v>
      </c>
      <c r="J67" s="1" t="s">
        <v>834</v>
      </c>
    </row>
    <row r="68" spans="1:10" x14ac:dyDescent="0.25">
      <c r="A68" s="1" t="s">
        <v>90</v>
      </c>
      <c r="B68">
        <v>29</v>
      </c>
      <c r="C68" s="1" t="s">
        <v>11</v>
      </c>
      <c r="D68" s="1" t="s">
        <v>12</v>
      </c>
      <c r="E68" s="1" t="s">
        <v>13</v>
      </c>
      <c r="F68">
        <v>6</v>
      </c>
      <c r="G68">
        <v>7</v>
      </c>
      <c r="H68">
        <v>3.8</v>
      </c>
      <c r="I68">
        <v>53000</v>
      </c>
      <c r="J68" s="1" t="s">
        <v>834</v>
      </c>
    </row>
    <row r="69" spans="1:10" x14ac:dyDescent="0.25">
      <c r="A69" s="1" t="s">
        <v>91</v>
      </c>
      <c r="B69">
        <v>36</v>
      </c>
      <c r="C69" s="1" t="s">
        <v>15</v>
      </c>
      <c r="D69" s="1" t="s">
        <v>25</v>
      </c>
      <c r="E69" s="1" t="s">
        <v>26</v>
      </c>
      <c r="F69">
        <v>8</v>
      </c>
      <c r="G69">
        <v>8</v>
      </c>
      <c r="H69">
        <v>4</v>
      </c>
      <c r="I69">
        <v>56000</v>
      </c>
      <c r="J69" s="1" t="s">
        <v>834</v>
      </c>
    </row>
    <row r="70" spans="1:10" x14ac:dyDescent="0.25">
      <c r="A70" s="1" t="s">
        <v>92</v>
      </c>
      <c r="B70">
        <v>41</v>
      </c>
      <c r="C70" s="1" t="s">
        <v>11</v>
      </c>
      <c r="D70" s="1" t="s">
        <v>28</v>
      </c>
      <c r="E70" s="1" t="s">
        <v>29</v>
      </c>
      <c r="F70">
        <v>11</v>
      </c>
      <c r="G70">
        <v>9</v>
      </c>
      <c r="H70">
        <v>4.2</v>
      </c>
      <c r="I70">
        <v>58000</v>
      </c>
      <c r="J70" s="1" t="s">
        <v>834</v>
      </c>
    </row>
    <row r="71" spans="1:10" x14ac:dyDescent="0.25">
      <c r="A71" s="1" t="s">
        <v>93</v>
      </c>
      <c r="B71">
        <v>33</v>
      </c>
      <c r="C71" s="1" t="s">
        <v>15</v>
      </c>
      <c r="D71" s="1" t="s">
        <v>19</v>
      </c>
      <c r="E71" s="1" t="s">
        <v>20</v>
      </c>
      <c r="F71">
        <v>7</v>
      </c>
      <c r="G71">
        <v>7</v>
      </c>
      <c r="H71">
        <v>3.9</v>
      </c>
      <c r="I71">
        <v>54000</v>
      </c>
      <c r="J71" s="1" t="s">
        <v>834</v>
      </c>
    </row>
    <row r="72" spans="1:10" x14ac:dyDescent="0.25">
      <c r="A72" s="1" t="s">
        <v>94</v>
      </c>
      <c r="B72">
        <v>46</v>
      </c>
      <c r="C72" s="1" t="s">
        <v>11</v>
      </c>
      <c r="D72" s="1" t="s">
        <v>22</v>
      </c>
      <c r="E72" s="1" t="s">
        <v>23</v>
      </c>
      <c r="F72">
        <v>15</v>
      </c>
      <c r="G72">
        <v>8</v>
      </c>
      <c r="H72">
        <v>4.5</v>
      </c>
      <c r="I72">
        <v>67000</v>
      </c>
      <c r="J72" s="1" t="s">
        <v>834</v>
      </c>
    </row>
    <row r="73" spans="1:10" x14ac:dyDescent="0.25">
      <c r="A73" s="1" t="s">
        <v>95</v>
      </c>
      <c r="B73">
        <v>31</v>
      </c>
      <c r="C73" s="1" t="s">
        <v>11</v>
      </c>
      <c r="D73" s="1" t="s">
        <v>12</v>
      </c>
      <c r="E73" s="1" t="s">
        <v>13</v>
      </c>
      <c r="F73">
        <v>7</v>
      </c>
      <c r="G73">
        <v>7</v>
      </c>
      <c r="H73">
        <v>3.6</v>
      </c>
      <c r="I73">
        <v>54000</v>
      </c>
      <c r="J73" s="1" t="s">
        <v>834</v>
      </c>
    </row>
    <row r="74" spans="1:10" x14ac:dyDescent="0.25">
      <c r="A74" s="1" t="s">
        <v>96</v>
      </c>
      <c r="B74">
        <v>30</v>
      </c>
      <c r="C74" s="1" t="s">
        <v>15</v>
      </c>
      <c r="D74" s="1" t="s">
        <v>25</v>
      </c>
      <c r="E74" s="1" t="s">
        <v>26</v>
      </c>
      <c r="F74">
        <v>6</v>
      </c>
      <c r="G74">
        <v>7</v>
      </c>
      <c r="H74">
        <v>3.7</v>
      </c>
      <c r="I74">
        <v>55000</v>
      </c>
      <c r="J74" s="1" t="s">
        <v>834</v>
      </c>
    </row>
    <row r="75" spans="1:10" x14ac:dyDescent="0.25">
      <c r="A75" s="1" t="s">
        <v>97</v>
      </c>
      <c r="B75">
        <v>38</v>
      </c>
      <c r="C75" s="1" t="s">
        <v>11</v>
      </c>
      <c r="D75" s="1" t="s">
        <v>16</v>
      </c>
      <c r="E75" s="1" t="s">
        <v>17</v>
      </c>
      <c r="F75">
        <v>8</v>
      </c>
      <c r="G75">
        <v>8</v>
      </c>
      <c r="H75">
        <v>4</v>
      </c>
      <c r="I75">
        <v>58000</v>
      </c>
      <c r="J75" s="1" t="s">
        <v>834</v>
      </c>
    </row>
    <row r="76" spans="1:10" x14ac:dyDescent="0.25">
      <c r="A76" s="1" t="s">
        <v>98</v>
      </c>
      <c r="B76">
        <v>37</v>
      </c>
      <c r="C76" s="1" t="s">
        <v>11</v>
      </c>
      <c r="D76" s="1" t="s">
        <v>28</v>
      </c>
      <c r="E76" s="1" t="s">
        <v>29</v>
      </c>
      <c r="F76">
        <v>9</v>
      </c>
      <c r="G76">
        <v>8</v>
      </c>
      <c r="H76">
        <v>4.0999999999999996</v>
      </c>
      <c r="I76">
        <v>59000</v>
      </c>
      <c r="J76" s="1" t="s">
        <v>834</v>
      </c>
    </row>
    <row r="77" spans="1:10" x14ac:dyDescent="0.25">
      <c r="A77" s="1" t="s">
        <v>99</v>
      </c>
      <c r="B77">
        <v>35</v>
      </c>
      <c r="C77" s="1" t="s">
        <v>11</v>
      </c>
      <c r="D77" s="1" t="s">
        <v>12</v>
      </c>
      <c r="E77" s="1" t="s">
        <v>13</v>
      </c>
      <c r="F77">
        <v>8</v>
      </c>
      <c r="G77">
        <v>7</v>
      </c>
      <c r="H77">
        <v>4.2</v>
      </c>
      <c r="I77">
        <v>60000</v>
      </c>
      <c r="J77" s="1" t="s">
        <v>834</v>
      </c>
    </row>
    <row r="78" spans="1:10" x14ac:dyDescent="0.25">
      <c r="A78" s="1" t="s">
        <v>100</v>
      </c>
      <c r="B78">
        <v>43</v>
      </c>
      <c r="C78" s="1" t="s">
        <v>15</v>
      </c>
      <c r="D78" s="1" t="s">
        <v>19</v>
      </c>
      <c r="E78" s="1" t="s">
        <v>17</v>
      </c>
      <c r="F78">
        <v>12</v>
      </c>
      <c r="G78">
        <v>9</v>
      </c>
      <c r="H78">
        <v>4.3</v>
      </c>
      <c r="I78">
        <v>61000</v>
      </c>
      <c r="J78" s="1" t="s">
        <v>834</v>
      </c>
    </row>
    <row r="79" spans="1:10" x14ac:dyDescent="0.25">
      <c r="A79" s="1" t="s">
        <v>101</v>
      </c>
      <c r="B79">
        <v>29</v>
      </c>
      <c r="C79" s="1" t="s">
        <v>11</v>
      </c>
      <c r="D79" s="1" t="s">
        <v>25</v>
      </c>
      <c r="E79" s="1" t="s">
        <v>26</v>
      </c>
      <c r="F79">
        <v>5</v>
      </c>
      <c r="G79">
        <v>6</v>
      </c>
      <c r="H79">
        <v>3.5</v>
      </c>
      <c r="I79">
        <v>52000</v>
      </c>
      <c r="J79" s="1" t="s">
        <v>834</v>
      </c>
    </row>
    <row r="80" spans="1:10" x14ac:dyDescent="0.25">
      <c r="A80" s="1" t="s">
        <v>102</v>
      </c>
      <c r="B80">
        <v>32</v>
      </c>
      <c r="C80" s="1" t="s">
        <v>15</v>
      </c>
      <c r="D80" s="1" t="s">
        <v>22</v>
      </c>
      <c r="E80" s="1" t="s">
        <v>23</v>
      </c>
      <c r="F80">
        <v>6</v>
      </c>
      <c r="G80">
        <v>7</v>
      </c>
      <c r="H80">
        <v>3.6</v>
      </c>
      <c r="I80">
        <v>53000</v>
      </c>
      <c r="J80" s="1" t="s">
        <v>834</v>
      </c>
    </row>
    <row r="81" spans="1:10" x14ac:dyDescent="0.25">
      <c r="A81" s="1" t="s">
        <v>103</v>
      </c>
      <c r="B81">
        <v>34</v>
      </c>
      <c r="C81" s="1" t="s">
        <v>11</v>
      </c>
      <c r="D81" s="1" t="s">
        <v>16</v>
      </c>
      <c r="E81" s="1" t="s">
        <v>20</v>
      </c>
      <c r="F81">
        <v>7</v>
      </c>
      <c r="G81">
        <v>7</v>
      </c>
      <c r="H81">
        <v>3.8</v>
      </c>
      <c r="I81">
        <v>54000</v>
      </c>
      <c r="J81" s="1" t="s">
        <v>834</v>
      </c>
    </row>
    <row r="82" spans="1:10" x14ac:dyDescent="0.25">
      <c r="A82" s="1" t="s">
        <v>104</v>
      </c>
      <c r="B82">
        <v>30</v>
      </c>
      <c r="C82" s="1" t="s">
        <v>11</v>
      </c>
      <c r="D82" s="1" t="s">
        <v>28</v>
      </c>
      <c r="E82" s="1" t="s">
        <v>29</v>
      </c>
      <c r="F82">
        <v>6</v>
      </c>
      <c r="G82">
        <v>7</v>
      </c>
      <c r="H82">
        <v>3.9</v>
      </c>
      <c r="I82">
        <v>55000</v>
      </c>
      <c r="J82" s="1" t="s">
        <v>834</v>
      </c>
    </row>
    <row r="83" spans="1:10" x14ac:dyDescent="0.25">
      <c r="A83" s="1" t="s">
        <v>105</v>
      </c>
      <c r="B83">
        <v>38</v>
      </c>
      <c r="C83" s="1" t="s">
        <v>15</v>
      </c>
      <c r="D83" s="1" t="s">
        <v>12</v>
      </c>
      <c r="E83" s="1" t="s">
        <v>13</v>
      </c>
      <c r="F83">
        <v>8</v>
      </c>
      <c r="G83">
        <v>8</v>
      </c>
      <c r="H83">
        <v>4</v>
      </c>
      <c r="I83">
        <v>56000</v>
      </c>
      <c r="J83" s="1" t="s">
        <v>834</v>
      </c>
    </row>
    <row r="84" spans="1:10" x14ac:dyDescent="0.25">
      <c r="A84" s="1" t="s">
        <v>106</v>
      </c>
      <c r="B84">
        <v>35</v>
      </c>
      <c r="C84" s="1" t="s">
        <v>11</v>
      </c>
      <c r="D84" s="1" t="s">
        <v>25</v>
      </c>
      <c r="E84" s="1" t="s">
        <v>26</v>
      </c>
      <c r="F84">
        <v>7</v>
      </c>
      <c r="G84">
        <v>7</v>
      </c>
      <c r="H84">
        <v>4.0999999999999996</v>
      </c>
      <c r="I84">
        <v>57000</v>
      </c>
      <c r="J84" s="1" t="s">
        <v>834</v>
      </c>
    </row>
    <row r="85" spans="1:10" x14ac:dyDescent="0.25">
      <c r="A85" s="1" t="s">
        <v>107</v>
      </c>
      <c r="B85">
        <v>36</v>
      </c>
      <c r="C85" s="1" t="s">
        <v>11</v>
      </c>
      <c r="D85" s="1" t="s">
        <v>19</v>
      </c>
      <c r="E85" s="1" t="s">
        <v>17</v>
      </c>
      <c r="F85">
        <v>8</v>
      </c>
      <c r="G85">
        <v>8</v>
      </c>
      <c r="H85">
        <v>4.2</v>
      </c>
      <c r="I85">
        <v>58000</v>
      </c>
      <c r="J85" s="1" t="s">
        <v>834</v>
      </c>
    </row>
    <row r="86" spans="1:10" x14ac:dyDescent="0.25">
      <c r="A86" s="1" t="s">
        <v>108</v>
      </c>
      <c r="B86">
        <v>27</v>
      </c>
      <c r="C86" s="1" t="s">
        <v>15</v>
      </c>
      <c r="D86" s="1" t="s">
        <v>16</v>
      </c>
      <c r="E86" s="1" t="s">
        <v>17</v>
      </c>
      <c r="F86">
        <v>4</v>
      </c>
      <c r="G86">
        <v>6</v>
      </c>
      <c r="H86">
        <v>3.2</v>
      </c>
      <c r="I86">
        <v>51000</v>
      </c>
      <c r="J86" s="1" t="s">
        <v>834</v>
      </c>
    </row>
    <row r="87" spans="1:10" x14ac:dyDescent="0.25">
      <c r="A87" s="1" t="s">
        <v>109</v>
      </c>
      <c r="B87">
        <v>32</v>
      </c>
      <c r="C87" s="1" t="s">
        <v>11</v>
      </c>
      <c r="D87" s="1" t="s">
        <v>12</v>
      </c>
      <c r="E87" s="1" t="s">
        <v>13</v>
      </c>
      <c r="F87">
        <v>6</v>
      </c>
      <c r="G87">
        <v>7</v>
      </c>
      <c r="H87">
        <v>3.3</v>
      </c>
      <c r="I87">
        <v>52000</v>
      </c>
      <c r="J87" s="1" t="s">
        <v>834</v>
      </c>
    </row>
    <row r="88" spans="1:10" x14ac:dyDescent="0.25">
      <c r="A88" s="1" t="s">
        <v>110</v>
      </c>
      <c r="B88">
        <v>41</v>
      </c>
      <c r="C88" s="1" t="s">
        <v>11</v>
      </c>
      <c r="D88" s="1" t="s">
        <v>25</v>
      </c>
      <c r="E88" s="1" t="s">
        <v>26</v>
      </c>
      <c r="F88">
        <v>9</v>
      </c>
      <c r="G88">
        <v>8</v>
      </c>
      <c r="H88">
        <v>3.4</v>
      </c>
      <c r="I88">
        <v>53000</v>
      </c>
      <c r="J88" s="1" t="s">
        <v>834</v>
      </c>
    </row>
    <row r="89" spans="1:10" x14ac:dyDescent="0.25">
      <c r="A89" s="1" t="s">
        <v>111</v>
      </c>
      <c r="B89">
        <v>29</v>
      </c>
      <c r="C89" s="1" t="s">
        <v>11</v>
      </c>
      <c r="D89" s="1" t="s">
        <v>22</v>
      </c>
      <c r="E89" s="1" t="s">
        <v>23</v>
      </c>
      <c r="F89">
        <v>7</v>
      </c>
      <c r="G89">
        <v>7</v>
      </c>
      <c r="H89">
        <v>3.5</v>
      </c>
      <c r="I89">
        <v>54000</v>
      </c>
      <c r="J89" s="1" t="s">
        <v>834</v>
      </c>
    </row>
    <row r="90" spans="1:10" x14ac:dyDescent="0.25">
      <c r="A90" s="1" t="s">
        <v>112</v>
      </c>
      <c r="B90">
        <v>43</v>
      </c>
      <c r="C90" s="1" t="s">
        <v>11</v>
      </c>
      <c r="D90" s="1" t="s">
        <v>28</v>
      </c>
      <c r="E90" s="1" t="s">
        <v>29</v>
      </c>
      <c r="F90">
        <v>12</v>
      </c>
      <c r="G90">
        <v>9</v>
      </c>
      <c r="H90">
        <v>4.4000000000000004</v>
      </c>
      <c r="I90">
        <v>59000</v>
      </c>
      <c r="J90" s="1" t="s">
        <v>834</v>
      </c>
    </row>
    <row r="91" spans="1:10" x14ac:dyDescent="0.25">
      <c r="A91" s="1" t="s">
        <v>113</v>
      </c>
      <c r="B91">
        <v>26</v>
      </c>
      <c r="C91" s="1" t="s">
        <v>15</v>
      </c>
      <c r="D91" s="1" t="s">
        <v>19</v>
      </c>
      <c r="E91" s="1" t="s">
        <v>20</v>
      </c>
      <c r="F91">
        <v>3</v>
      </c>
      <c r="G91">
        <v>6</v>
      </c>
      <c r="H91">
        <v>3</v>
      </c>
      <c r="I91">
        <v>48000</v>
      </c>
      <c r="J91" s="1" t="s">
        <v>834</v>
      </c>
    </row>
    <row r="92" spans="1:10" x14ac:dyDescent="0.25">
      <c r="A92" s="1" t="s">
        <v>114</v>
      </c>
      <c r="B92">
        <v>45</v>
      </c>
      <c r="C92" s="1" t="s">
        <v>11</v>
      </c>
      <c r="D92" s="1" t="s">
        <v>12</v>
      </c>
      <c r="E92" s="1" t="s">
        <v>13</v>
      </c>
      <c r="F92">
        <v>10</v>
      </c>
      <c r="G92">
        <v>8</v>
      </c>
      <c r="H92">
        <v>4.5</v>
      </c>
      <c r="I92">
        <v>60000</v>
      </c>
      <c r="J92" s="1" t="s">
        <v>834</v>
      </c>
    </row>
    <row r="93" spans="1:10" x14ac:dyDescent="0.25">
      <c r="A93" s="1" t="s">
        <v>115</v>
      </c>
      <c r="B93">
        <v>31</v>
      </c>
      <c r="C93" s="1" t="s">
        <v>11</v>
      </c>
      <c r="D93" s="1" t="s">
        <v>25</v>
      </c>
      <c r="E93" s="1" t="s">
        <v>26</v>
      </c>
      <c r="F93">
        <v>6</v>
      </c>
      <c r="G93">
        <v>7</v>
      </c>
      <c r="H93">
        <v>3.6</v>
      </c>
      <c r="I93">
        <v>55000</v>
      </c>
      <c r="J93" s="1" t="s">
        <v>834</v>
      </c>
    </row>
    <row r="94" spans="1:10" x14ac:dyDescent="0.25">
      <c r="A94" s="1" t="s">
        <v>116</v>
      </c>
      <c r="B94">
        <v>34</v>
      </c>
      <c r="C94" s="1" t="s">
        <v>15</v>
      </c>
      <c r="D94" s="1" t="s">
        <v>16</v>
      </c>
      <c r="E94" s="1" t="s">
        <v>17</v>
      </c>
      <c r="F94">
        <v>8</v>
      </c>
      <c r="G94">
        <v>8</v>
      </c>
      <c r="H94">
        <v>3.7</v>
      </c>
      <c r="I94">
        <v>56000</v>
      </c>
      <c r="J94" s="1" t="s">
        <v>834</v>
      </c>
    </row>
    <row r="95" spans="1:10" x14ac:dyDescent="0.25">
      <c r="A95" s="1" t="s">
        <v>117</v>
      </c>
      <c r="B95">
        <v>37</v>
      </c>
      <c r="C95" s="1" t="s">
        <v>11</v>
      </c>
      <c r="D95" s="1" t="s">
        <v>19</v>
      </c>
      <c r="E95" s="1" t="s">
        <v>17</v>
      </c>
      <c r="F95">
        <v>9</v>
      </c>
      <c r="G95">
        <v>8</v>
      </c>
      <c r="H95">
        <v>3.8</v>
      </c>
      <c r="I95">
        <v>57000</v>
      </c>
      <c r="J95" s="1" t="s">
        <v>834</v>
      </c>
    </row>
    <row r="96" spans="1:10" x14ac:dyDescent="0.25">
      <c r="A96" s="1" t="s">
        <v>118</v>
      </c>
      <c r="B96">
        <v>40</v>
      </c>
      <c r="C96" s="1" t="s">
        <v>11</v>
      </c>
      <c r="D96" s="1" t="s">
        <v>12</v>
      </c>
      <c r="E96" s="1" t="s">
        <v>13</v>
      </c>
      <c r="F96">
        <v>10</v>
      </c>
      <c r="G96">
        <v>8</v>
      </c>
      <c r="H96">
        <v>3.9</v>
      </c>
      <c r="I96">
        <v>58000</v>
      </c>
      <c r="J96" s="1" t="s">
        <v>834</v>
      </c>
    </row>
    <row r="97" spans="1:10" x14ac:dyDescent="0.25">
      <c r="A97" s="1" t="s">
        <v>119</v>
      </c>
      <c r="B97">
        <v>33</v>
      </c>
      <c r="C97" s="1" t="s">
        <v>11</v>
      </c>
      <c r="D97" s="1" t="s">
        <v>22</v>
      </c>
      <c r="E97" s="1" t="s">
        <v>23</v>
      </c>
      <c r="F97">
        <v>7</v>
      </c>
      <c r="G97">
        <v>7</v>
      </c>
      <c r="H97">
        <v>4</v>
      </c>
      <c r="I97">
        <v>59000</v>
      </c>
      <c r="J97" s="1" t="s">
        <v>834</v>
      </c>
    </row>
    <row r="98" spans="1:10" x14ac:dyDescent="0.25">
      <c r="A98" s="1" t="s">
        <v>120</v>
      </c>
      <c r="B98">
        <v>39</v>
      </c>
      <c r="C98" s="1" t="s">
        <v>15</v>
      </c>
      <c r="D98" s="1" t="s">
        <v>25</v>
      </c>
      <c r="E98" s="1" t="s">
        <v>26</v>
      </c>
      <c r="F98">
        <v>9</v>
      </c>
      <c r="G98">
        <v>8</v>
      </c>
      <c r="H98">
        <v>4.0999999999999996</v>
      </c>
      <c r="I98">
        <v>60000</v>
      </c>
      <c r="J98" s="1" t="s">
        <v>834</v>
      </c>
    </row>
    <row r="99" spans="1:10" x14ac:dyDescent="0.25">
      <c r="A99" s="1" t="s">
        <v>121</v>
      </c>
      <c r="B99">
        <v>28</v>
      </c>
      <c r="C99" s="1" t="s">
        <v>11</v>
      </c>
      <c r="D99" s="1" t="s">
        <v>28</v>
      </c>
      <c r="E99" s="1" t="s">
        <v>29</v>
      </c>
      <c r="F99">
        <v>5</v>
      </c>
      <c r="G99">
        <v>6</v>
      </c>
      <c r="H99">
        <v>3.2</v>
      </c>
      <c r="I99">
        <v>53000</v>
      </c>
      <c r="J99" s="1" t="s">
        <v>834</v>
      </c>
    </row>
    <row r="100" spans="1:10" x14ac:dyDescent="0.25">
      <c r="A100" s="1" t="s">
        <v>122</v>
      </c>
      <c r="B100">
        <v>32</v>
      </c>
      <c r="C100" s="1" t="s">
        <v>11</v>
      </c>
      <c r="D100" s="1" t="s">
        <v>19</v>
      </c>
      <c r="E100" s="1" t="s">
        <v>20</v>
      </c>
      <c r="F100">
        <v>6</v>
      </c>
      <c r="G100">
        <v>7</v>
      </c>
      <c r="H100">
        <v>3.3</v>
      </c>
      <c r="I100">
        <v>54000</v>
      </c>
      <c r="J100" s="1" t="s">
        <v>834</v>
      </c>
    </row>
    <row r="101" spans="1:10" x14ac:dyDescent="0.25">
      <c r="A101" s="1" t="s">
        <v>123</v>
      </c>
      <c r="B101">
        <v>37</v>
      </c>
      <c r="C101" s="1" t="s">
        <v>15</v>
      </c>
      <c r="D101" s="1" t="s">
        <v>12</v>
      </c>
      <c r="E101" s="1" t="s">
        <v>13</v>
      </c>
      <c r="F101">
        <v>8</v>
      </c>
      <c r="G101">
        <v>8</v>
      </c>
      <c r="H101">
        <v>3.4</v>
      </c>
      <c r="I101">
        <v>55000</v>
      </c>
      <c r="J101" s="1" t="s">
        <v>834</v>
      </c>
    </row>
    <row r="102" spans="1:10" x14ac:dyDescent="0.25">
      <c r="A102" s="1" t="s">
        <v>124</v>
      </c>
      <c r="B102">
        <v>30</v>
      </c>
      <c r="C102" s="1" t="s">
        <v>11</v>
      </c>
      <c r="D102" s="1" t="s">
        <v>25</v>
      </c>
      <c r="E102" s="1" t="s">
        <v>26</v>
      </c>
      <c r="F102">
        <v>6</v>
      </c>
      <c r="G102">
        <v>7</v>
      </c>
      <c r="H102">
        <v>3.5</v>
      </c>
      <c r="I102">
        <v>55000</v>
      </c>
      <c r="J102" s="1" t="s">
        <v>834</v>
      </c>
    </row>
    <row r="103" spans="1:10" x14ac:dyDescent="0.25">
      <c r="A103" s="1" t="s">
        <v>125</v>
      </c>
      <c r="B103">
        <v>42</v>
      </c>
      <c r="C103" s="1" t="s">
        <v>11</v>
      </c>
      <c r="D103" s="1" t="s">
        <v>19</v>
      </c>
      <c r="E103" s="1" t="s">
        <v>17</v>
      </c>
      <c r="F103">
        <v>10</v>
      </c>
      <c r="G103">
        <v>8</v>
      </c>
      <c r="H103">
        <v>4.4000000000000004</v>
      </c>
      <c r="I103">
        <v>60000</v>
      </c>
      <c r="J103" s="1" t="s">
        <v>834</v>
      </c>
    </row>
    <row r="104" spans="1:10" x14ac:dyDescent="0.25">
      <c r="A104" s="1" t="s">
        <v>126</v>
      </c>
      <c r="B104">
        <v>31</v>
      </c>
      <c r="C104" s="1" t="s">
        <v>15</v>
      </c>
      <c r="D104" s="1" t="s">
        <v>22</v>
      </c>
      <c r="E104" s="1" t="s">
        <v>23</v>
      </c>
      <c r="F104">
        <v>7</v>
      </c>
      <c r="G104">
        <v>7</v>
      </c>
      <c r="H104">
        <v>3.6</v>
      </c>
      <c r="I104">
        <v>57000</v>
      </c>
      <c r="J104" s="1" t="s">
        <v>834</v>
      </c>
    </row>
    <row r="105" spans="1:10" x14ac:dyDescent="0.25">
      <c r="A105" s="1" t="s">
        <v>127</v>
      </c>
      <c r="B105">
        <v>35</v>
      </c>
      <c r="C105" s="1" t="s">
        <v>11</v>
      </c>
      <c r="D105" s="1" t="s">
        <v>12</v>
      </c>
      <c r="E105" s="1" t="s">
        <v>13</v>
      </c>
      <c r="F105">
        <v>8</v>
      </c>
      <c r="G105">
        <v>7</v>
      </c>
      <c r="H105">
        <v>3.7</v>
      </c>
      <c r="I105">
        <v>58000</v>
      </c>
      <c r="J105" s="1" t="s">
        <v>834</v>
      </c>
    </row>
    <row r="106" spans="1:10" x14ac:dyDescent="0.25">
      <c r="A106" s="1" t="s">
        <v>128</v>
      </c>
      <c r="B106">
        <v>33</v>
      </c>
      <c r="C106" s="1" t="s">
        <v>11</v>
      </c>
      <c r="D106" s="1" t="s">
        <v>25</v>
      </c>
      <c r="E106" s="1" t="s">
        <v>26</v>
      </c>
      <c r="F106">
        <v>7</v>
      </c>
      <c r="G106">
        <v>7</v>
      </c>
      <c r="H106">
        <v>3.8</v>
      </c>
      <c r="I106">
        <v>59000</v>
      </c>
      <c r="J106" s="1" t="s">
        <v>834</v>
      </c>
    </row>
    <row r="107" spans="1:10" x14ac:dyDescent="0.25">
      <c r="A107" s="1" t="s">
        <v>129</v>
      </c>
      <c r="B107">
        <v>34</v>
      </c>
      <c r="C107" s="1" t="s">
        <v>11</v>
      </c>
      <c r="D107" s="1" t="s">
        <v>16</v>
      </c>
      <c r="E107" s="1" t="s">
        <v>17</v>
      </c>
      <c r="F107">
        <v>8</v>
      </c>
      <c r="G107">
        <v>8</v>
      </c>
      <c r="H107">
        <v>4</v>
      </c>
      <c r="I107">
        <v>60000</v>
      </c>
      <c r="J107" s="1" t="s">
        <v>834</v>
      </c>
    </row>
    <row r="108" spans="1:10" x14ac:dyDescent="0.25">
      <c r="A108" s="1" t="s">
        <v>130</v>
      </c>
      <c r="B108">
        <v>27</v>
      </c>
      <c r="C108" s="1" t="s">
        <v>15</v>
      </c>
      <c r="D108" s="1" t="s">
        <v>19</v>
      </c>
      <c r="E108" s="1" t="s">
        <v>20</v>
      </c>
      <c r="F108">
        <v>3</v>
      </c>
      <c r="G108">
        <v>6</v>
      </c>
      <c r="H108">
        <v>3.2</v>
      </c>
      <c r="I108">
        <v>52000</v>
      </c>
      <c r="J108" s="1" t="s">
        <v>834</v>
      </c>
    </row>
    <row r="109" spans="1:10" x14ac:dyDescent="0.25">
      <c r="A109" s="1" t="s">
        <v>131</v>
      </c>
      <c r="B109">
        <v>38</v>
      </c>
      <c r="C109" s="1" t="s">
        <v>11</v>
      </c>
      <c r="D109" s="1" t="s">
        <v>12</v>
      </c>
      <c r="E109" s="1" t="s">
        <v>13</v>
      </c>
      <c r="F109">
        <v>9</v>
      </c>
      <c r="G109">
        <v>8</v>
      </c>
      <c r="H109">
        <v>4.2</v>
      </c>
      <c r="I109">
        <v>62000</v>
      </c>
      <c r="J109" s="1" t="s">
        <v>834</v>
      </c>
    </row>
    <row r="110" spans="1:10" x14ac:dyDescent="0.25">
      <c r="A110" s="1" t="s">
        <v>132</v>
      </c>
      <c r="B110">
        <v>45</v>
      </c>
      <c r="C110" s="1" t="s">
        <v>11</v>
      </c>
      <c r="D110" s="1" t="s">
        <v>28</v>
      </c>
      <c r="E110" s="1" t="s">
        <v>29</v>
      </c>
      <c r="F110">
        <v>15</v>
      </c>
      <c r="G110">
        <v>8</v>
      </c>
      <c r="H110">
        <v>4.5999999999999996</v>
      </c>
      <c r="I110">
        <v>67000</v>
      </c>
      <c r="J110" s="1" t="s">
        <v>834</v>
      </c>
    </row>
    <row r="111" spans="1:10" x14ac:dyDescent="0.25">
      <c r="A111" s="1" t="s">
        <v>133</v>
      </c>
      <c r="B111">
        <v>29</v>
      </c>
      <c r="C111" s="1" t="s">
        <v>15</v>
      </c>
      <c r="D111" s="1" t="s">
        <v>25</v>
      </c>
      <c r="E111" s="1" t="s">
        <v>26</v>
      </c>
      <c r="F111">
        <v>4</v>
      </c>
      <c r="G111">
        <v>7</v>
      </c>
      <c r="H111">
        <v>3.3</v>
      </c>
      <c r="I111">
        <v>53000</v>
      </c>
      <c r="J111" s="1" t="s">
        <v>834</v>
      </c>
    </row>
    <row r="112" spans="1:10" x14ac:dyDescent="0.25">
      <c r="A112" s="1" t="s">
        <v>134</v>
      </c>
      <c r="B112">
        <v>31</v>
      </c>
      <c r="C112" s="1" t="s">
        <v>11</v>
      </c>
      <c r="D112" s="1" t="s">
        <v>19</v>
      </c>
      <c r="E112" s="1" t="s">
        <v>20</v>
      </c>
      <c r="F112">
        <v>5</v>
      </c>
      <c r="G112">
        <v>6</v>
      </c>
      <c r="H112">
        <v>3.4</v>
      </c>
      <c r="I112">
        <v>54000</v>
      </c>
      <c r="J112" s="1" t="s">
        <v>834</v>
      </c>
    </row>
    <row r="113" spans="1:10" x14ac:dyDescent="0.25">
      <c r="A113" s="1" t="s">
        <v>135</v>
      </c>
      <c r="B113">
        <v>44</v>
      </c>
      <c r="C113" s="1" t="s">
        <v>15</v>
      </c>
      <c r="D113" s="1" t="s">
        <v>22</v>
      </c>
      <c r="E113" s="1" t="s">
        <v>23</v>
      </c>
      <c r="F113">
        <v>11</v>
      </c>
      <c r="G113">
        <v>9</v>
      </c>
      <c r="H113">
        <v>4.0999999999999996</v>
      </c>
      <c r="I113">
        <v>64000</v>
      </c>
      <c r="J113" s="1" t="s">
        <v>834</v>
      </c>
    </row>
    <row r="114" spans="1:10" x14ac:dyDescent="0.25">
      <c r="A114" s="1" t="s">
        <v>136</v>
      </c>
      <c r="B114">
        <v>37</v>
      </c>
      <c r="C114" s="1" t="s">
        <v>11</v>
      </c>
      <c r="D114" s="1" t="s">
        <v>12</v>
      </c>
      <c r="E114" s="1" t="s">
        <v>13</v>
      </c>
      <c r="F114">
        <v>7</v>
      </c>
      <c r="G114">
        <v>7</v>
      </c>
      <c r="H114">
        <v>3.5</v>
      </c>
      <c r="I114">
        <v>56000</v>
      </c>
      <c r="J114" s="1" t="s">
        <v>834</v>
      </c>
    </row>
    <row r="115" spans="1:10" x14ac:dyDescent="0.25">
      <c r="A115" s="1" t="s">
        <v>137</v>
      </c>
      <c r="B115">
        <v>39</v>
      </c>
      <c r="C115" s="1" t="s">
        <v>11</v>
      </c>
      <c r="D115" s="1" t="s">
        <v>25</v>
      </c>
      <c r="E115" s="1" t="s">
        <v>26</v>
      </c>
      <c r="F115">
        <v>8</v>
      </c>
      <c r="G115">
        <v>8</v>
      </c>
      <c r="H115">
        <v>3.6</v>
      </c>
      <c r="I115">
        <v>57000</v>
      </c>
      <c r="J115" s="1" t="s">
        <v>834</v>
      </c>
    </row>
    <row r="116" spans="1:10" x14ac:dyDescent="0.25">
      <c r="A116" s="1" t="s">
        <v>138</v>
      </c>
      <c r="B116">
        <v>35</v>
      </c>
      <c r="C116" s="1" t="s">
        <v>15</v>
      </c>
      <c r="D116" s="1" t="s">
        <v>16</v>
      </c>
      <c r="E116" s="1" t="s">
        <v>17</v>
      </c>
      <c r="F116">
        <v>6</v>
      </c>
      <c r="G116">
        <v>7</v>
      </c>
      <c r="H116">
        <v>3.7</v>
      </c>
      <c r="I116">
        <v>58000</v>
      </c>
      <c r="J116" s="1" t="s">
        <v>834</v>
      </c>
    </row>
    <row r="117" spans="1:10" x14ac:dyDescent="0.25">
      <c r="A117" s="1" t="s">
        <v>139</v>
      </c>
      <c r="B117">
        <v>36</v>
      </c>
      <c r="C117" s="1" t="s">
        <v>11</v>
      </c>
      <c r="D117" s="1" t="s">
        <v>19</v>
      </c>
      <c r="E117" s="1" t="s">
        <v>17</v>
      </c>
      <c r="F117">
        <v>7</v>
      </c>
      <c r="G117">
        <v>7</v>
      </c>
      <c r="H117">
        <v>3.8</v>
      </c>
      <c r="I117">
        <v>59000</v>
      </c>
      <c r="J117" s="1" t="s">
        <v>834</v>
      </c>
    </row>
    <row r="118" spans="1:10" x14ac:dyDescent="0.25">
      <c r="A118" s="1" t="s">
        <v>140</v>
      </c>
      <c r="B118">
        <v>30</v>
      </c>
      <c r="C118" s="1" t="s">
        <v>11</v>
      </c>
      <c r="D118" s="1" t="s">
        <v>12</v>
      </c>
      <c r="E118" s="1" t="s">
        <v>13</v>
      </c>
      <c r="F118">
        <v>5</v>
      </c>
      <c r="G118">
        <v>6</v>
      </c>
      <c r="H118">
        <v>3.9</v>
      </c>
      <c r="I118">
        <v>60000</v>
      </c>
      <c r="J118" s="1" t="s">
        <v>834</v>
      </c>
    </row>
    <row r="119" spans="1:10" x14ac:dyDescent="0.25">
      <c r="A119" s="1" t="s">
        <v>141</v>
      </c>
      <c r="B119">
        <v>31</v>
      </c>
      <c r="C119" s="1" t="s">
        <v>15</v>
      </c>
      <c r="D119" s="1" t="s">
        <v>28</v>
      </c>
      <c r="E119" s="1" t="s">
        <v>29</v>
      </c>
      <c r="F119">
        <v>6</v>
      </c>
      <c r="G119">
        <v>7</v>
      </c>
      <c r="H119">
        <v>4</v>
      </c>
      <c r="I119">
        <v>61000</v>
      </c>
      <c r="J119" s="1" t="s">
        <v>834</v>
      </c>
    </row>
    <row r="120" spans="1:10" x14ac:dyDescent="0.25">
      <c r="A120" s="1" t="s">
        <v>142</v>
      </c>
      <c r="B120">
        <v>38</v>
      </c>
      <c r="C120" s="1" t="s">
        <v>11</v>
      </c>
      <c r="D120" s="1" t="s">
        <v>25</v>
      </c>
      <c r="E120" s="1" t="s">
        <v>26</v>
      </c>
      <c r="F120">
        <v>9</v>
      </c>
      <c r="G120">
        <v>8</v>
      </c>
      <c r="H120">
        <v>4.2</v>
      </c>
      <c r="I120">
        <v>62000</v>
      </c>
      <c r="J120" s="1" t="s">
        <v>834</v>
      </c>
    </row>
    <row r="121" spans="1:10" x14ac:dyDescent="0.25">
      <c r="A121" s="1" t="s">
        <v>143</v>
      </c>
      <c r="B121">
        <v>34</v>
      </c>
      <c r="C121" s="1" t="s">
        <v>11</v>
      </c>
      <c r="D121" s="1" t="s">
        <v>19</v>
      </c>
      <c r="E121" s="1" t="s">
        <v>20</v>
      </c>
      <c r="F121">
        <v>8</v>
      </c>
      <c r="G121">
        <v>8</v>
      </c>
      <c r="H121">
        <v>4.3</v>
      </c>
      <c r="I121">
        <v>63000</v>
      </c>
      <c r="J121" s="1" t="s">
        <v>834</v>
      </c>
    </row>
    <row r="122" spans="1:10" x14ac:dyDescent="0.25">
      <c r="A122" s="1" t="s">
        <v>144</v>
      </c>
      <c r="B122">
        <v>37</v>
      </c>
      <c r="C122" s="1" t="s">
        <v>15</v>
      </c>
      <c r="D122" s="1" t="s">
        <v>12</v>
      </c>
      <c r="E122" s="1" t="s">
        <v>13</v>
      </c>
      <c r="F122">
        <v>9</v>
      </c>
      <c r="G122">
        <v>8</v>
      </c>
      <c r="H122">
        <v>4.4000000000000004</v>
      </c>
      <c r="I122">
        <v>64000</v>
      </c>
      <c r="J122" s="1" t="s">
        <v>834</v>
      </c>
    </row>
    <row r="123" spans="1:10" x14ac:dyDescent="0.25">
      <c r="A123" s="1" t="s">
        <v>145</v>
      </c>
      <c r="B123">
        <v>40</v>
      </c>
      <c r="C123" s="1" t="s">
        <v>11</v>
      </c>
      <c r="D123" s="1" t="s">
        <v>16</v>
      </c>
      <c r="E123" s="1" t="s">
        <v>17</v>
      </c>
      <c r="F123">
        <v>10</v>
      </c>
      <c r="G123">
        <v>8</v>
      </c>
      <c r="H123">
        <v>4.5</v>
      </c>
      <c r="I123">
        <v>65000</v>
      </c>
      <c r="J123" s="1" t="s">
        <v>834</v>
      </c>
    </row>
    <row r="124" spans="1:10" x14ac:dyDescent="0.25">
      <c r="A124" s="1" t="s">
        <v>146</v>
      </c>
      <c r="B124">
        <v>36</v>
      </c>
      <c r="C124" s="1" t="s">
        <v>11</v>
      </c>
      <c r="D124" s="1" t="s">
        <v>22</v>
      </c>
      <c r="E124" s="1" t="s">
        <v>23</v>
      </c>
      <c r="F124">
        <v>7</v>
      </c>
      <c r="G124">
        <v>7</v>
      </c>
      <c r="H124">
        <v>4.5999999999999996</v>
      </c>
      <c r="I124">
        <v>66000</v>
      </c>
      <c r="J124" s="1" t="s">
        <v>834</v>
      </c>
    </row>
    <row r="125" spans="1:10" x14ac:dyDescent="0.25">
      <c r="A125" s="1" t="s">
        <v>147</v>
      </c>
      <c r="B125">
        <v>29</v>
      </c>
      <c r="C125" s="1" t="s">
        <v>11</v>
      </c>
      <c r="D125" s="1" t="s">
        <v>19</v>
      </c>
      <c r="E125" s="1" t="s">
        <v>20</v>
      </c>
      <c r="F125">
        <v>4</v>
      </c>
      <c r="G125">
        <v>6</v>
      </c>
      <c r="H125">
        <v>3</v>
      </c>
      <c r="I125">
        <v>49000</v>
      </c>
      <c r="J125" s="1" t="s">
        <v>834</v>
      </c>
    </row>
    <row r="126" spans="1:10" x14ac:dyDescent="0.25">
      <c r="A126" s="1" t="s">
        <v>148</v>
      </c>
      <c r="B126">
        <v>30</v>
      </c>
      <c r="C126" s="1" t="s">
        <v>11</v>
      </c>
      <c r="D126" s="1" t="s">
        <v>12</v>
      </c>
      <c r="E126" s="1" t="s">
        <v>13</v>
      </c>
      <c r="F126">
        <v>5</v>
      </c>
      <c r="G126">
        <v>7</v>
      </c>
      <c r="H126">
        <v>3.1</v>
      </c>
      <c r="I126">
        <v>50000</v>
      </c>
      <c r="J126" s="1" t="s">
        <v>834</v>
      </c>
    </row>
    <row r="127" spans="1:10" x14ac:dyDescent="0.25">
      <c r="A127" s="1" t="s">
        <v>149</v>
      </c>
      <c r="B127">
        <v>41</v>
      </c>
      <c r="C127" s="1" t="s">
        <v>15</v>
      </c>
      <c r="D127" s="1" t="s">
        <v>25</v>
      </c>
      <c r="E127" s="1" t="s">
        <v>26</v>
      </c>
      <c r="F127">
        <v>11</v>
      </c>
      <c r="G127">
        <v>9</v>
      </c>
      <c r="H127">
        <v>4.7</v>
      </c>
      <c r="I127">
        <v>67000</v>
      </c>
      <c r="J127" s="1" t="s">
        <v>834</v>
      </c>
    </row>
    <row r="128" spans="1:10" x14ac:dyDescent="0.25">
      <c r="A128" s="1" t="s">
        <v>150</v>
      </c>
      <c r="B128">
        <v>31</v>
      </c>
      <c r="C128" s="1" t="s">
        <v>11</v>
      </c>
      <c r="D128" s="1" t="s">
        <v>16</v>
      </c>
      <c r="E128" s="1" t="s">
        <v>17</v>
      </c>
      <c r="F128">
        <v>6</v>
      </c>
      <c r="G128">
        <v>7</v>
      </c>
      <c r="H128">
        <v>3.2</v>
      </c>
      <c r="I128">
        <v>51000</v>
      </c>
      <c r="J128" s="1" t="s">
        <v>834</v>
      </c>
    </row>
    <row r="129" spans="1:10" x14ac:dyDescent="0.25">
      <c r="A129" s="1" t="s">
        <v>151</v>
      </c>
      <c r="B129">
        <v>28</v>
      </c>
      <c r="C129" s="1" t="s">
        <v>11</v>
      </c>
      <c r="D129" s="1" t="s">
        <v>28</v>
      </c>
      <c r="E129" s="1" t="s">
        <v>29</v>
      </c>
      <c r="F129">
        <v>3</v>
      </c>
      <c r="G129">
        <v>6</v>
      </c>
      <c r="H129">
        <v>3.3</v>
      </c>
      <c r="I129">
        <v>52000</v>
      </c>
      <c r="J129" s="1" t="s">
        <v>834</v>
      </c>
    </row>
    <row r="130" spans="1:10" x14ac:dyDescent="0.25">
      <c r="A130" s="1" t="s">
        <v>152</v>
      </c>
      <c r="B130">
        <v>36</v>
      </c>
      <c r="C130" s="1" t="s">
        <v>11</v>
      </c>
      <c r="D130" s="1" t="s">
        <v>12</v>
      </c>
      <c r="E130" s="1" t="s">
        <v>13</v>
      </c>
      <c r="F130">
        <v>7</v>
      </c>
      <c r="G130">
        <v>7</v>
      </c>
      <c r="H130">
        <v>3.4</v>
      </c>
      <c r="I130">
        <v>53000</v>
      </c>
      <c r="J130" s="1" t="s">
        <v>834</v>
      </c>
    </row>
    <row r="131" spans="1:10" x14ac:dyDescent="0.25">
      <c r="A131" s="1" t="s">
        <v>153</v>
      </c>
      <c r="B131">
        <v>30</v>
      </c>
      <c r="C131" s="1" t="s">
        <v>15</v>
      </c>
      <c r="D131" s="1" t="s">
        <v>19</v>
      </c>
      <c r="E131" s="1" t="s">
        <v>20</v>
      </c>
      <c r="F131">
        <v>6</v>
      </c>
      <c r="G131">
        <v>7</v>
      </c>
      <c r="H131">
        <v>3.5</v>
      </c>
      <c r="I131">
        <v>54000</v>
      </c>
      <c r="J131" s="1" t="s">
        <v>834</v>
      </c>
    </row>
    <row r="132" spans="1:10" x14ac:dyDescent="0.25">
      <c r="A132" s="1" t="s">
        <v>154</v>
      </c>
      <c r="B132">
        <v>40</v>
      </c>
      <c r="C132" s="1" t="s">
        <v>11</v>
      </c>
      <c r="D132" s="1" t="s">
        <v>22</v>
      </c>
      <c r="E132" s="1" t="s">
        <v>23</v>
      </c>
      <c r="F132">
        <v>8</v>
      </c>
      <c r="G132">
        <v>8</v>
      </c>
      <c r="H132">
        <v>3.6</v>
      </c>
      <c r="I132">
        <v>55000</v>
      </c>
      <c r="J132" s="1" t="s">
        <v>834</v>
      </c>
    </row>
    <row r="133" spans="1:10" x14ac:dyDescent="0.25">
      <c r="A133" s="1" t="s">
        <v>155</v>
      </c>
      <c r="B133">
        <v>35</v>
      </c>
      <c r="C133" s="1" t="s">
        <v>11</v>
      </c>
      <c r="D133" s="1" t="s">
        <v>25</v>
      </c>
      <c r="E133" s="1" t="s">
        <v>26</v>
      </c>
      <c r="F133">
        <v>7</v>
      </c>
      <c r="G133">
        <v>7</v>
      </c>
      <c r="H133">
        <v>3.7</v>
      </c>
      <c r="I133">
        <v>56000</v>
      </c>
      <c r="J133" s="1" t="s">
        <v>834</v>
      </c>
    </row>
    <row r="134" spans="1:10" x14ac:dyDescent="0.25">
      <c r="A134" s="1" t="s">
        <v>156</v>
      </c>
      <c r="B134">
        <v>34</v>
      </c>
      <c r="C134" s="1" t="s">
        <v>11</v>
      </c>
      <c r="D134" s="1" t="s">
        <v>16</v>
      </c>
      <c r="E134" s="1" t="s">
        <v>17</v>
      </c>
      <c r="F134">
        <v>6</v>
      </c>
      <c r="G134">
        <v>7</v>
      </c>
      <c r="H134">
        <v>3.8</v>
      </c>
      <c r="I134">
        <v>57000</v>
      </c>
      <c r="J134" s="1" t="s">
        <v>834</v>
      </c>
    </row>
    <row r="135" spans="1:10" x14ac:dyDescent="0.25">
      <c r="A135" s="1" t="s">
        <v>157</v>
      </c>
      <c r="B135">
        <v>26</v>
      </c>
      <c r="C135" s="1" t="s">
        <v>15</v>
      </c>
      <c r="D135" s="1" t="s">
        <v>12</v>
      </c>
      <c r="E135" s="1" t="s">
        <v>13</v>
      </c>
      <c r="F135">
        <v>4</v>
      </c>
      <c r="G135">
        <v>6</v>
      </c>
      <c r="H135">
        <v>3.9</v>
      </c>
      <c r="I135">
        <v>58000</v>
      </c>
      <c r="J135" s="1" t="s">
        <v>834</v>
      </c>
    </row>
    <row r="136" spans="1:10" x14ac:dyDescent="0.25">
      <c r="A136" s="1" t="s">
        <v>158</v>
      </c>
      <c r="B136">
        <v>32</v>
      </c>
      <c r="C136" s="1" t="s">
        <v>11</v>
      </c>
      <c r="D136" s="1" t="s">
        <v>19</v>
      </c>
      <c r="E136" s="1" t="s">
        <v>17</v>
      </c>
      <c r="F136">
        <v>6</v>
      </c>
      <c r="G136">
        <v>7</v>
      </c>
      <c r="H136">
        <v>4</v>
      </c>
      <c r="I136">
        <v>59000</v>
      </c>
      <c r="J136" s="1" t="s">
        <v>834</v>
      </c>
    </row>
    <row r="137" spans="1:10" x14ac:dyDescent="0.25">
      <c r="A137" s="1" t="s">
        <v>159</v>
      </c>
      <c r="B137">
        <v>44</v>
      </c>
      <c r="C137" s="1" t="s">
        <v>11</v>
      </c>
      <c r="D137" s="1" t="s">
        <v>25</v>
      </c>
      <c r="E137" s="1" t="s">
        <v>26</v>
      </c>
      <c r="F137">
        <v>10</v>
      </c>
      <c r="G137">
        <v>8</v>
      </c>
      <c r="H137">
        <v>4.0999999999999996</v>
      </c>
      <c r="I137">
        <v>60000</v>
      </c>
      <c r="J137" s="1" t="s">
        <v>834</v>
      </c>
    </row>
    <row r="138" spans="1:10" x14ac:dyDescent="0.25">
      <c r="A138" s="1" t="s">
        <v>160</v>
      </c>
      <c r="B138">
        <v>28</v>
      </c>
      <c r="C138" s="1" t="s">
        <v>11</v>
      </c>
      <c r="D138" s="1" t="s">
        <v>22</v>
      </c>
      <c r="E138" s="1" t="s">
        <v>23</v>
      </c>
      <c r="F138">
        <v>4</v>
      </c>
      <c r="G138">
        <v>6</v>
      </c>
      <c r="H138">
        <v>3.2</v>
      </c>
      <c r="I138">
        <v>51000</v>
      </c>
      <c r="J138" s="1" t="s">
        <v>834</v>
      </c>
    </row>
    <row r="139" spans="1:10" x14ac:dyDescent="0.25">
      <c r="A139" s="1" t="s">
        <v>161</v>
      </c>
      <c r="B139">
        <v>38</v>
      </c>
      <c r="C139" s="1" t="s">
        <v>11</v>
      </c>
      <c r="D139" s="1" t="s">
        <v>12</v>
      </c>
      <c r="E139" s="1" t="s">
        <v>13</v>
      </c>
      <c r="F139">
        <v>8</v>
      </c>
      <c r="G139">
        <v>8</v>
      </c>
      <c r="H139">
        <v>3.3</v>
      </c>
      <c r="I139">
        <v>52000</v>
      </c>
      <c r="J139" s="1" t="s">
        <v>834</v>
      </c>
    </row>
    <row r="140" spans="1:10" x14ac:dyDescent="0.25">
      <c r="A140" s="1" t="s">
        <v>162</v>
      </c>
      <c r="B140">
        <v>45</v>
      </c>
      <c r="C140" s="1" t="s">
        <v>11</v>
      </c>
      <c r="D140" s="1" t="s">
        <v>28</v>
      </c>
      <c r="E140" s="1" t="s">
        <v>29</v>
      </c>
      <c r="F140">
        <v>9</v>
      </c>
      <c r="G140">
        <v>8</v>
      </c>
      <c r="H140">
        <v>3.4</v>
      </c>
      <c r="I140">
        <v>53000</v>
      </c>
      <c r="J140" s="1" t="s">
        <v>834</v>
      </c>
    </row>
    <row r="141" spans="1:10" x14ac:dyDescent="0.25">
      <c r="A141" s="1" t="s">
        <v>163</v>
      </c>
      <c r="B141">
        <v>29</v>
      </c>
      <c r="C141" s="1" t="s">
        <v>15</v>
      </c>
      <c r="D141" s="1" t="s">
        <v>19</v>
      </c>
      <c r="E141" s="1" t="s">
        <v>20</v>
      </c>
      <c r="F141">
        <v>5</v>
      </c>
      <c r="G141">
        <v>6</v>
      </c>
      <c r="H141">
        <v>3.5</v>
      </c>
      <c r="I141">
        <v>54000</v>
      </c>
      <c r="J141" s="1" t="s">
        <v>834</v>
      </c>
    </row>
    <row r="142" spans="1:10" x14ac:dyDescent="0.25">
      <c r="A142" s="1" t="s">
        <v>164</v>
      </c>
      <c r="B142">
        <v>31</v>
      </c>
      <c r="C142" s="1" t="s">
        <v>11</v>
      </c>
      <c r="D142" s="1" t="s">
        <v>25</v>
      </c>
      <c r="E142" s="1" t="s">
        <v>26</v>
      </c>
      <c r="F142">
        <v>6</v>
      </c>
      <c r="G142">
        <v>7</v>
      </c>
      <c r="H142">
        <v>3.6</v>
      </c>
      <c r="I142">
        <v>55000</v>
      </c>
      <c r="J142" s="1" t="s">
        <v>834</v>
      </c>
    </row>
    <row r="143" spans="1:10" x14ac:dyDescent="0.25">
      <c r="A143" s="1" t="s">
        <v>165</v>
      </c>
      <c r="B143">
        <v>36</v>
      </c>
      <c r="C143" s="1" t="s">
        <v>15</v>
      </c>
      <c r="D143" s="1" t="s">
        <v>16</v>
      </c>
      <c r="E143" s="1" t="s">
        <v>17</v>
      </c>
      <c r="F143">
        <v>7</v>
      </c>
      <c r="G143">
        <v>7</v>
      </c>
      <c r="H143">
        <v>3.7</v>
      </c>
      <c r="I143">
        <v>56000</v>
      </c>
      <c r="J143" s="1" t="s">
        <v>834</v>
      </c>
    </row>
    <row r="144" spans="1:10" x14ac:dyDescent="0.25">
      <c r="A144" s="1" t="s">
        <v>166</v>
      </c>
      <c r="B144">
        <v>39</v>
      </c>
      <c r="C144" s="1" t="s">
        <v>11</v>
      </c>
      <c r="D144" s="1" t="s">
        <v>12</v>
      </c>
      <c r="E144" s="1" t="s">
        <v>13</v>
      </c>
      <c r="F144">
        <v>8</v>
      </c>
      <c r="G144">
        <v>8</v>
      </c>
      <c r="H144">
        <v>3.8</v>
      </c>
      <c r="I144">
        <v>57000</v>
      </c>
      <c r="J144" s="1" t="s">
        <v>834</v>
      </c>
    </row>
    <row r="145" spans="1:10" x14ac:dyDescent="0.25">
      <c r="A145" s="1" t="s">
        <v>167</v>
      </c>
      <c r="B145">
        <v>33</v>
      </c>
      <c r="C145" s="1" t="s">
        <v>11</v>
      </c>
      <c r="D145" s="1" t="s">
        <v>22</v>
      </c>
      <c r="E145" s="1" t="s">
        <v>23</v>
      </c>
      <c r="F145">
        <v>7</v>
      </c>
      <c r="G145">
        <v>7</v>
      </c>
      <c r="H145">
        <v>3.9</v>
      </c>
      <c r="I145">
        <v>58000</v>
      </c>
      <c r="J145" s="1" t="s">
        <v>834</v>
      </c>
    </row>
    <row r="146" spans="1:10" x14ac:dyDescent="0.25">
      <c r="A146" s="1" t="s">
        <v>168</v>
      </c>
      <c r="B146">
        <v>34</v>
      </c>
      <c r="C146" s="1" t="s">
        <v>11</v>
      </c>
      <c r="D146" s="1" t="s">
        <v>25</v>
      </c>
      <c r="E146" s="1" t="s">
        <v>26</v>
      </c>
      <c r="F146">
        <v>8</v>
      </c>
      <c r="G146">
        <v>8</v>
      </c>
      <c r="H146">
        <v>4</v>
      </c>
      <c r="I146">
        <v>59000</v>
      </c>
      <c r="J146" s="1" t="s">
        <v>834</v>
      </c>
    </row>
    <row r="147" spans="1:10" x14ac:dyDescent="0.25">
      <c r="A147" s="1" t="s">
        <v>169</v>
      </c>
      <c r="B147">
        <v>27</v>
      </c>
      <c r="C147" s="1" t="s">
        <v>15</v>
      </c>
      <c r="D147" s="1" t="s">
        <v>19</v>
      </c>
      <c r="E147" s="1" t="s">
        <v>17</v>
      </c>
      <c r="F147">
        <v>3</v>
      </c>
      <c r="G147">
        <v>6</v>
      </c>
      <c r="H147">
        <v>3.1</v>
      </c>
      <c r="I147">
        <v>50000</v>
      </c>
      <c r="J147" s="1" t="s">
        <v>834</v>
      </c>
    </row>
    <row r="148" spans="1:10" x14ac:dyDescent="0.25">
      <c r="A148" s="1" t="s">
        <v>170</v>
      </c>
      <c r="B148">
        <v>38</v>
      </c>
      <c r="C148" s="1" t="s">
        <v>11</v>
      </c>
      <c r="D148" s="1" t="s">
        <v>12</v>
      </c>
      <c r="E148" s="1" t="s">
        <v>13</v>
      </c>
      <c r="F148">
        <v>9</v>
      </c>
      <c r="G148">
        <v>8</v>
      </c>
      <c r="H148">
        <v>4.2</v>
      </c>
      <c r="I148">
        <v>62000</v>
      </c>
      <c r="J148" s="1" t="s">
        <v>834</v>
      </c>
    </row>
    <row r="149" spans="1:10" x14ac:dyDescent="0.25">
      <c r="A149" s="1" t="s">
        <v>171</v>
      </c>
      <c r="B149">
        <v>45</v>
      </c>
      <c r="C149" s="1" t="s">
        <v>11</v>
      </c>
      <c r="D149" s="1" t="s">
        <v>28</v>
      </c>
      <c r="E149" s="1" t="s">
        <v>29</v>
      </c>
      <c r="F149">
        <v>10</v>
      </c>
      <c r="G149">
        <v>8</v>
      </c>
      <c r="H149">
        <v>4.3</v>
      </c>
      <c r="I149">
        <v>63000</v>
      </c>
      <c r="J149" s="1" t="s">
        <v>834</v>
      </c>
    </row>
    <row r="150" spans="1:10" x14ac:dyDescent="0.25">
      <c r="A150" s="1" t="s">
        <v>172</v>
      </c>
      <c r="B150">
        <v>29</v>
      </c>
      <c r="C150" s="1" t="s">
        <v>11</v>
      </c>
      <c r="D150" s="1" t="s">
        <v>25</v>
      </c>
      <c r="E150" s="1" t="s">
        <v>26</v>
      </c>
      <c r="F150">
        <v>4</v>
      </c>
      <c r="G150">
        <v>7</v>
      </c>
      <c r="H150">
        <v>3.4</v>
      </c>
      <c r="I150">
        <v>53000</v>
      </c>
      <c r="J150" s="1" t="s">
        <v>834</v>
      </c>
    </row>
    <row r="151" spans="1:10" x14ac:dyDescent="0.25">
      <c r="A151" s="1" t="s">
        <v>173</v>
      </c>
      <c r="B151">
        <v>31</v>
      </c>
      <c r="C151" s="1" t="s">
        <v>15</v>
      </c>
      <c r="D151" s="1" t="s">
        <v>16</v>
      </c>
      <c r="E151" s="1" t="s">
        <v>17</v>
      </c>
      <c r="F151">
        <v>6</v>
      </c>
      <c r="G151">
        <v>7</v>
      </c>
      <c r="H151">
        <v>3.5</v>
      </c>
      <c r="I151">
        <v>54000</v>
      </c>
      <c r="J151" s="1" t="s">
        <v>834</v>
      </c>
    </row>
    <row r="152" spans="1:10" x14ac:dyDescent="0.25">
      <c r="A152" s="1" t="s">
        <v>174</v>
      </c>
      <c r="B152">
        <v>33</v>
      </c>
      <c r="C152" s="1" t="s">
        <v>11</v>
      </c>
      <c r="D152" s="1" t="s">
        <v>22</v>
      </c>
      <c r="E152" s="1" t="s">
        <v>23</v>
      </c>
      <c r="F152">
        <v>7</v>
      </c>
      <c r="G152">
        <v>7</v>
      </c>
      <c r="H152">
        <v>3.6</v>
      </c>
      <c r="I152">
        <v>55000</v>
      </c>
      <c r="J152" s="1" t="s">
        <v>834</v>
      </c>
    </row>
    <row r="153" spans="1:10" x14ac:dyDescent="0.25">
      <c r="A153" s="1" t="s">
        <v>175</v>
      </c>
      <c r="B153">
        <v>34</v>
      </c>
      <c r="C153" s="1" t="s">
        <v>11</v>
      </c>
      <c r="D153" s="1" t="s">
        <v>19</v>
      </c>
      <c r="E153" s="1" t="s">
        <v>20</v>
      </c>
      <c r="F153">
        <v>8</v>
      </c>
      <c r="G153">
        <v>8</v>
      </c>
      <c r="H153">
        <v>3.7</v>
      </c>
      <c r="I153">
        <v>56000</v>
      </c>
      <c r="J153" s="1" t="s">
        <v>834</v>
      </c>
    </row>
    <row r="154" spans="1:10" x14ac:dyDescent="0.25">
      <c r="A154" s="1" t="s">
        <v>176</v>
      </c>
      <c r="B154">
        <v>26</v>
      </c>
      <c r="C154" s="1" t="s">
        <v>15</v>
      </c>
      <c r="D154" s="1" t="s">
        <v>12</v>
      </c>
      <c r="E154" s="1" t="s">
        <v>13</v>
      </c>
      <c r="F154">
        <v>4</v>
      </c>
      <c r="G154">
        <v>6</v>
      </c>
      <c r="H154">
        <v>3.8</v>
      </c>
      <c r="I154">
        <v>57000</v>
      </c>
      <c r="J154" s="1" t="s">
        <v>834</v>
      </c>
    </row>
    <row r="155" spans="1:10" x14ac:dyDescent="0.25">
      <c r="A155" s="1" t="s">
        <v>177</v>
      </c>
      <c r="B155">
        <v>32</v>
      </c>
      <c r="C155" s="1" t="s">
        <v>11</v>
      </c>
      <c r="D155" s="1" t="s">
        <v>25</v>
      </c>
      <c r="E155" s="1" t="s">
        <v>26</v>
      </c>
      <c r="F155">
        <v>6</v>
      </c>
      <c r="G155">
        <v>7</v>
      </c>
      <c r="H155">
        <v>3.9</v>
      </c>
      <c r="I155">
        <v>58000</v>
      </c>
      <c r="J155" s="1" t="s">
        <v>834</v>
      </c>
    </row>
    <row r="156" spans="1:10" x14ac:dyDescent="0.25">
      <c r="A156" s="1" t="s">
        <v>178</v>
      </c>
      <c r="B156">
        <v>44</v>
      </c>
      <c r="C156" s="1" t="s">
        <v>11</v>
      </c>
      <c r="D156" s="1" t="s">
        <v>16</v>
      </c>
      <c r="E156" s="1" t="s">
        <v>17</v>
      </c>
      <c r="F156">
        <v>10</v>
      </c>
      <c r="G156">
        <v>8</v>
      </c>
      <c r="H156">
        <v>4</v>
      </c>
      <c r="I156">
        <v>59000</v>
      </c>
      <c r="J156" s="1" t="s">
        <v>834</v>
      </c>
    </row>
    <row r="157" spans="1:10" x14ac:dyDescent="0.25">
      <c r="A157" s="1" t="s">
        <v>179</v>
      </c>
      <c r="B157">
        <v>28</v>
      </c>
      <c r="C157" s="1" t="s">
        <v>11</v>
      </c>
      <c r="D157" s="1" t="s">
        <v>28</v>
      </c>
      <c r="E157" s="1" t="s">
        <v>29</v>
      </c>
      <c r="F157">
        <v>4</v>
      </c>
      <c r="G157">
        <v>6</v>
      </c>
      <c r="H157">
        <v>4.0999999999999996</v>
      </c>
      <c r="I157">
        <v>60000</v>
      </c>
      <c r="J157" s="1" t="s">
        <v>834</v>
      </c>
    </row>
    <row r="158" spans="1:10" x14ac:dyDescent="0.25">
      <c r="A158" s="1" t="s">
        <v>180</v>
      </c>
      <c r="B158">
        <v>38</v>
      </c>
      <c r="C158" s="1" t="s">
        <v>11</v>
      </c>
      <c r="D158" s="1" t="s">
        <v>12</v>
      </c>
      <c r="E158" s="1" t="s">
        <v>13</v>
      </c>
      <c r="F158">
        <v>8</v>
      </c>
      <c r="G158">
        <v>8</v>
      </c>
      <c r="H158">
        <v>4.2</v>
      </c>
      <c r="I158">
        <v>61000</v>
      </c>
      <c r="J158" s="1" t="s">
        <v>834</v>
      </c>
    </row>
    <row r="159" spans="1:10" x14ac:dyDescent="0.25">
      <c r="A159" s="1" t="s">
        <v>181</v>
      </c>
      <c r="B159">
        <v>45</v>
      </c>
      <c r="C159" s="1" t="s">
        <v>11</v>
      </c>
      <c r="D159" s="1" t="s">
        <v>19</v>
      </c>
      <c r="E159" s="1" t="s">
        <v>17</v>
      </c>
      <c r="F159">
        <v>9</v>
      </c>
      <c r="G159">
        <v>8</v>
      </c>
      <c r="H159">
        <v>4.3</v>
      </c>
      <c r="I159">
        <v>62000</v>
      </c>
      <c r="J159" s="1" t="s">
        <v>834</v>
      </c>
    </row>
    <row r="160" spans="1:10" x14ac:dyDescent="0.25">
      <c r="A160" s="1" t="s">
        <v>182</v>
      </c>
      <c r="B160">
        <v>29</v>
      </c>
      <c r="C160" s="1" t="s">
        <v>15</v>
      </c>
      <c r="D160" s="1" t="s">
        <v>25</v>
      </c>
      <c r="E160" s="1" t="s">
        <v>26</v>
      </c>
      <c r="F160">
        <v>5</v>
      </c>
      <c r="G160">
        <v>6</v>
      </c>
      <c r="H160">
        <v>3</v>
      </c>
      <c r="I160">
        <v>49000</v>
      </c>
      <c r="J160" s="1" t="s">
        <v>834</v>
      </c>
    </row>
    <row r="161" spans="1:10" x14ac:dyDescent="0.25">
      <c r="A161" s="1" t="s">
        <v>183</v>
      </c>
      <c r="B161">
        <v>30</v>
      </c>
      <c r="C161" s="1" t="s">
        <v>11</v>
      </c>
      <c r="D161" s="1" t="s">
        <v>16</v>
      </c>
      <c r="E161" s="1" t="s">
        <v>17</v>
      </c>
      <c r="F161">
        <v>6</v>
      </c>
      <c r="G161">
        <v>7</v>
      </c>
      <c r="H161">
        <v>3.1</v>
      </c>
      <c r="I161">
        <v>50000</v>
      </c>
      <c r="J161" s="1" t="s">
        <v>834</v>
      </c>
    </row>
    <row r="162" spans="1:10" x14ac:dyDescent="0.25">
      <c r="A162" s="1" t="s">
        <v>184</v>
      </c>
      <c r="B162">
        <v>31</v>
      </c>
      <c r="C162" s="1" t="s">
        <v>15</v>
      </c>
      <c r="D162" s="1" t="s">
        <v>28</v>
      </c>
      <c r="E162" s="1" t="s">
        <v>29</v>
      </c>
      <c r="F162">
        <v>7</v>
      </c>
      <c r="G162">
        <v>7</v>
      </c>
      <c r="H162">
        <v>3.2</v>
      </c>
      <c r="I162">
        <v>51000</v>
      </c>
      <c r="J162" s="1" t="s">
        <v>834</v>
      </c>
    </row>
    <row r="163" spans="1:10" x14ac:dyDescent="0.25">
      <c r="A163" s="1" t="s">
        <v>185</v>
      </c>
      <c r="B163">
        <v>36</v>
      </c>
      <c r="C163" s="1" t="s">
        <v>11</v>
      </c>
      <c r="D163" s="1" t="s">
        <v>12</v>
      </c>
      <c r="E163" s="1" t="s">
        <v>13</v>
      </c>
      <c r="F163">
        <v>8</v>
      </c>
      <c r="G163">
        <v>8</v>
      </c>
      <c r="H163">
        <v>3.3</v>
      </c>
      <c r="I163">
        <v>52000</v>
      </c>
      <c r="J163" s="1" t="s">
        <v>834</v>
      </c>
    </row>
    <row r="164" spans="1:10" x14ac:dyDescent="0.25">
      <c r="A164" s="1" t="s">
        <v>186</v>
      </c>
      <c r="B164">
        <v>29</v>
      </c>
      <c r="C164" s="1" t="s">
        <v>11</v>
      </c>
      <c r="D164" s="1" t="s">
        <v>19</v>
      </c>
      <c r="E164" s="1" t="s">
        <v>20</v>
      </c>
      <c r="F164">
        <v>5</v>
      </c>
      <c r="G164">
        <v>6</v>
      </c>
      <c r="H164">
        <v>3.4</v>
      </c>
      <c r="I164">
        <v>53000</v>
      </c>
      <c r="J164" s="1" t="s">
        <v>834</v>
      </c>
    </row>
    <row r="165" spans="1:10" x14ac:dyDescent="0.25">
      <c r="A165" s="1" t="s">
        <v>187</v>
      </c>
      <c r="B165">
        <v>41</v>
      </c>
      <c r="C165" s="1" t="s">
        <v>15</v>
      </c>
      <c r="D165" s="1" t="s">
        <v>22</v>
      </c>
      <c r="E165" s="1" t="s">
        <v>23</v>
      </c>
      <c r="F165">
        <v>11</v>
      </c>
      <c r="G165">
        <v>9</v>
      </c>
      <c r="H165">
        <v>3.5</v>
      </c>
      <c r="I165">
        <v>54000</v>
      </c>
      <c r="J165" s="1" t="s">
        <v>834</v>
      </c>
    </row>
    <row r="166" spans="1:10" x14ac:dyDescent="0.25">
      <c r="A166" s="1" t="s">
        <v>188</v>
      </c>
      <c r="B166">
        <v>31</v>
      </c>
      <c r="C166" s="1" t="s">
        <v>11</v>
      </c>
      <c r="D166" s="1" t="s">
        <v>25</v>
      </c>
      <c r="E166" s="1" t="s">
        <v>26</v>
      </c>
      <c r="F166">
        <v>6</v>
      </c>
      <c r="G166">
        <v>7</v>
      </c>
      <c r="H166">
        <v>3.6</v>
      </c>
      <c r="I166">
        <v>55000</v>
      </c>
      <c r="J166" s="1" t="s">
        <v>834</v>
      </c>
    </row>
    <row r="167" spans="1:10" x14ac:dyDescent="0.25">
      <c r="A167" s="1" t="s">
        <v>189</v>
      </c>
      <c r="B167">
        <v>30</v>
      </c>
      <c r="C167" s="1" t="s">
        <v>11</v>
      </c>
      <c r="D167" s="1" t="s">
        <v>16</v>
      </c>
      <c r="E167" s="1" t="s">
        <v>17</v>
      </c>
      <c r="F167">
        <v>5</v>
      </c>
      <c r="G167">
        <v>6</v>
      </c>
      <c r="H167">
        <v>3.7</v>
      </c>
      <c r="I167">
        <v>56000</v>
      </c>
      <c r="J167" s="1" t="s">
        <v>834</v>
      </c>
    </row>
    <row r="168" spans="1:10" x14ac:dyDescent="0.25">
      <c r="A168" s="1" t="s">
        <v>190</v>
      </c>
      <c r="B168">
        <v>35</v>
      </c>
      <c r="C168" s="1" t="s">
        <v>15</v>
      </c>
      <c r="D168" s="1" t="s">
        <v>28</v>
      </c>
      <c r="E168" s="1" t="s">
        <v>29</v>
      </c>
      <c r="F168">
        <v>6</v>
      </c>
      <c r="G168">
        <v>7</v>
      </c>
      <c r="H168">
        <v>3.8</v>
      </c>
      <c r="I168">
        <v>57000</v>
      </c>
      <c r="J168" s="1" t="s">
        <v>834</v>
      </c>
    </row>
    <row r="169" spans="1:10" x14ac:dyDescent="0.25">
      <c r="A169" s="1" t="s">
        <v>191</v>
      </c>
      <c r="B169">
        <v>32</v>
      </c>
      <c r="C169" s="1" t="s">
        <v>11</v>
      </c>
      <c r="D169" s="1" t="s">
        <v>12</v>
      </c>
      <c r="E169" s="1" t="s">
        <v>13</v>
      </c>
      <c r="F169">
        <v>7</v>
      </c>
      <c r="G169">
        <v>7</v>
      </c>
      <c r="H169">
        <v>3.9</v>
      </c>
      <c r="I169">
        <v>58000</v>
      </c>
      <c r="J169" s="1" t="s">
        <v>834</v>
      </c>
    </row>
    <row r="170" spans="1:10" x14ac:dyDescent="0.25">
      <c r="A170" s="1" t="s">
        <v>192</v>
      </c>
      <c r="B170">
        <v>37</v>
      </c>
      <c r="C170" s="1" t="s">
        <v>11</v>
      </c>
      <c r="D170" s="1" t="s">
        <v>19</v>
      </c>
      <c r="E170" s="1" t="s">
        <v>20</v>
      </c>
      <c r="F170">
        <v>8</v>
      </c>
      <c r="G170">
        <v>8</v>
      </c>
      <c r="H170">
        <v>4</v>
      </c>
      <c r="I170">
        <v>59000</v>
      </c>
      <c r="J170" s="1" t="s">
        <v>834</v>
      </c>
    </row>
    <row r="171" spans="1:10" x14ac:dyDescent="0.25">
      <c r="A171" s="1" t="s">
        <v>193</v>
      </c>
      <c r="B171">
        <v>38</v>
      </c>
      <c r="C171" s="1" t="s">
        <v>15</v>
      </c>
      <c r="D171" s="1" t="s">
        <v>25</v>
      </c>
      <c r="E171" s="1" t="s">
        <v>26</v>
      </c>
      <c r="F171">
        <v>9</v>
      </c>
      <c r="G171">
        <v>8</v>
      </c>
      <c r="H171">
        <v>4.0999999999999996</v>
      </c>
      <c r="I171">
        <v>60000</v>
      </c>
      <c r="J171" s="1" t="s">
        <v>834</v>
      </c>
    </row>
    <row r="172" spans="1:10" x14ac:dyDescent="0.25">
      <c r="A172" s="1" t="s">
        <v>194</v>
      </c>
      <c r="B172">
        <v>34</v>
      </c>
      <c r="C172" s="1" t="s">
        <v>11</v>
      </c>
      <c r="D172" s="1" t="s">
        <v>16</v>
      </c>
      <c r="E172" s="1" t="s">
        <v>17</v>
      </c>
      <c r="F172">
        <v>7</v>
      </c>
      <c r="G172">
        <v>7</v>
      </c>
      <c r="H172">
        <v>4.2</v>
      </c>
      <c r="I172">
        <v>61000</v>
      </c>
      <c r="J172" s="1" t="s">
        <v>834</v>
      </c>
    </row>
    <row r="173" spans="1:10" x14ac:dyDescent="0.25">
      <c r="A173" s="1" t="s">
        <v>195</v>
      </c>
      <c r="B173">
        <v>40</v>
      </c>
      <c r="C173" s="1" t="s">
        <v>11</v>
      </c>
      <c r="D173" s="1" t="s">
        <v>22</v>
      </c>
      <c r="E173" s="1" t="s">
        <v>23</v>
      </c>
      <c r="F173">
        <v>10</v>
      </c>
      <c r="G173">
        <v>8</v>
      </c>
      <c r="H173">
        <v>4.3</v>
      </c>
      <c r="I173">
        <v>62000</v>
      </c>
      <c r="J173" s="1" t="s">
        <v>834</v>
      </c>
    </row>
    <row r="174" spans="1:10" x14ac:dyDescent="0.25">
      <c r="A174" s="1" t="s">
        <v>196</v>
      </c>
      <c r="B174">
        <v>37</v>
      </c>
      <c r="C174" s="1" t="s">
        <v>11</v>
      </c>
      <c r="D174" s="1" t="s">
        <v>12</v>
      </c>
      <c r="E174" s="1" t="s">
        <v>13</v>
      </c>
      <c r="F174">
        <v>9</v>
      </c>
      <c r="G174">
        <v>8</v>
      </c>
      <c r="H174">
        <v>4.4000000000000004</v>
      </c>
      <c r="I174">
        <v>63000</v>
      </c>
      <c r="J174" s="1" t="s">
        <v>834</v>
      </c>
    </row>
    <row r="175" spans="1:10" x14ac:dyDescent="0.25">
      <c r="A175" s="1" t="s">
        <v>197</v>
      </c>
      <c r="B175">
        <v>33</v>
      </c>
      <c r="C175" s="1" t="s">
        <v>11</v>
      </c>
      <c r="D175" s="1" t="s">
        <v>19</v>
      </c>
      <c r="E175" s="1" t="s">
        <v>17</v>
      </c>
      <c r="F175">
        <v>8</v>
      </c>
      <c r="G175">
        <v>8</v>
      </c>
      <c r="H175">
        <v>4.5</v>
      </c>
      <c r="I175">
        <v>64000</v>
      </c>
      <c r="J175" s="1" t="s">
        <v>834</v>
      </c>
    </row>
    <row r="176" spans="1:10" x14ac:dyDescent="0.25">
      <c r="A176" s="1" t="s">
        <v>198</v>
      </c>
      <c r="B176">
        <v>30</v>
      </c>
      <c r="C176" s="1" t="s">
        <v>11</v>
      </c>
      <c r="D176" s="1" t="s">
        <v>25</v>
      </c>
      <c r="E176" s="1" t="s">
        <v>26</v>
      </c>
      <c r="F176">
        <v>5</v>
      </c>
      <c r="G176">
        <v>6</v>
      </c>
      <c r="H176">
        <v>4.5999999999999996</v>
      </c>
      <c r="I176">
        <v>65000</v>
      </c>
      <c r="J176" s="1" t="s">
        <v>834</v>
      </c>
    </row>
    <row r="177" spans="1:10" x14ac:dyDescent="0.25">
      <c r="A177" s="1" t="s">
        <v>199</v>
      </c>
      <c r="B177">
        <v>31</v>
      </c>
      <c r="C177" s="1" t="s">
        <v>15</v>
      </c>
      <c r="D177" s="1" t="s">
        <v>19</v>
      </c>
      <c r="E177" s="1" t="s">
        <v>20</v>
      </c>
      <c r="F177">
        <v>6</v>
      </c>
      <c r="G177">
        <v>7</v>
      </c>
      <c r="H177">
        <v>4.7</v>
      </c>
      <c r="I177">
        <v>66000</v>
      </c>
      <c r="J177" s="1" t="s">
        <v>834</v>
      </c>
    </row>
    <row r="178" spans="1:10" x14ac:dyDescent="0.25">
      <c r="A178" s="1" t="s">
        <v>200</v>
      </c>
      <c r="B178">
        <v>29</v>
      </c>
      <c r="C178" s="1" t="s">
        <v>11</v>
      </c>
      <c r="D178" s="1" t="s">
        <v>12</v>
      </c>
      <c r="E178" s="1" t="s">
        <v>13</v>
      </c>
      <c r="F178">
        <v>4</v>
      </c>
      <c r="G178">
        <v>6</v>
      </c>
      <c r="H178">
        <v>4</v>
      </c>
      <c r="I178">
        <v>59000</v>
      </c>
      <c r="J178" s="1" t="s">
        <v>834</v>
      </c>
    </row>
    <row r="179" spans="1:10" x14ac:dyDescent="0.25">
      <c r="A179" s="1" t="s">
        <v>201</v>
      </c>
      <c r="B179">
        <v>35</v>
      </c>
      <c r="C179" s="1" t="s">
        <v>11</v>
      </c>
      <c r="D179" s="1" t="s">
        <v>25</v>
      </c>
      <c r="E179" s="1" t="s">
        <v>26</v>
      </c>
      <c r="F179">
        <v>7</v>
      </c>
      <c r="G179">
        <v>7</v>
      </c>
      <c r="H179">
        <v>3.9</v>
      </c>
      <c r="I179">
        <v>58000</v>
      </c>
      <c r="J179" s="1" t="s">
        <v>834</v>
      </c>
    </row>
    <row r="180" spans="1:10" x14ac:dyDescent="0.25">
      <c r="A180" s="1" t="s">
        <v>202</v>
      </c>
      <c r="B180">
        <v>36</v>
      </c>
      <c r="C180" s="1" t="s">
        <v>11</v>
      </c>
      <c r="D180" s="1" t="s">
        <v>16</v>
      </c>
      <c r="E180" s="1" t="s">
        <v>17</v>
      </c>
      <c r="F180">
        <v>8</v>
      </c>
      <c r="G180">
        <v>8</v>
      </c>
      <c r="H180">
        <v>3.8</v>
      </c>
      <c r="I180">
        <v>57000</v>
      </c>
      <c r="J180" s="1" t="s">
        <v>834</v>
      </c>
    </row>
    <row r="181" spans="1:10" x14ac:dyDescent="0.25">
      <c r="A181" s="1" t="s">
        <v>203</v>
      </c>
      <c r="B181">
        <v>28</v>
      </c>
      <c r="C181" s="1" t="s">
        <v>15</v>
      </c>
      <c r="D181" s="1" t="s">
        <v>28</v>
      </c>
      <c r="E181" s="1" t="s">
        <v>29</v>
      </c>
      <c r="F181">
        <v>3</v>
      </c>
      <c r="G181">
        <v>6</v>
      </c>
      <c r="H181">
        <v>3.7</v>
      </c>
      <c r="I181">
        <v>56000</v>
      </c>
      <c r="J181" s="1" t="s">
        <v>834</v>
      </c>
    </row>
    <row r="182" spans="1:10" x14ac:dyDescent="0.25">
      <c r="A182" s="1" t="s">
        <v>204</v>
      </c>
      <c r="B182">
        <v>44</v>
      </c>
      <c r="C182" s="1" t="s">
        <v>11</v>
      </c>
      <c r="D182" s="1" t="s">
        <v>12</v>
      </c>
      <c r="E182" s="1" t="s">
        <v>13</v>
      </c>
      <c r="F182">
        <v>10</v>
      </c>
      <c r="G182">
        <v>8</v>
      </c>
      <c r="H182">
        <v>3.6</v>
      </c>
      <c r="I182">
        <v>55000</v>
      </c>
      <c r="J182" s="1" t="s">
        <v>834</v>
      </c>
    </row>
    <row r="183" spans="1:10" x14ac:dyDescent="0.25">
      <c r="A183" s="1" t="s">
        <v>205</v>
      </c>
      <c r="B183">
        <v>27</v>
      </c>
      <c r="C183" s="1" t="s">
        <v>15</v>
      </c>
      <c r="D183" s="1" t="s">
        <v>19</v>
      </c>
      <c r="E183" s="1" t="s">
        <v>17</v>
      </c>
      <c r="F183">
        <v>3</v>
      </c>
      <c r="G183">
        <v>6</v>
      </c>
      <c r="H183">
        <v>3.5</v>
      </c>
      <c r="I183">
        <v>54000</v>
      </c>
      <c r="J183" s="1" t="s">
        <v>834</v>
      </c>
    </row>
    <row r="184" spans="1:10" x14ac:dyDescent="0.25">
      <c r="A184" s="1" t="s">
        <v>206</v>
      </c>
      <c r="B184">
        <v>37</v>
      </c>
      <c r="C184" s="1" t="s">
        <v>11</v>
      </c>
      <c r="D184" s="1" t="s">
        <v>22</v>
      </c>
      <c r="E184" s="1" t="s">
        <v>23</v>
      </c>
      <c r="F184">
        <v>8</v>
      </c>
      <c r="G184">
        <v>8</v>
      </c>
      <c r="H184">
        <v>3.4</v>
      </c>
      <c r="I184">
        <v>53000</v>
      </c>
      <c r="J184" s="1" t="s">
        <v>834</v>
      </c>
    </row>
    <row r="185" spans="1:10" x14ac:dyDescent="0.25">
      <c r="A185" s="1" t="s">
        <v>207</v>
      </c>
      <c r="B185">
        <v>35</v>
      </c>
      <c r="C185" s="1" t="s">
        <v>11</v>
      </c>
      <c r="D185" s="1" t="s">
        <v>19</v>
      </c>
      <c r="E185" s="1" t="s">
        <v>20</v>
      </c>
      <c r="F185">
        <v>7</v>
      </c>
      <c r="G185">
        <v>7</v>
      </c>
      <c r="H185">
        <v>3.3</v>
      </c>
      <c r="I185">
        <v>52000</v>
      </c>
      <c r="J185" s="1" t="s">
        <v>834</v>
      </c>
    </row>
    <row r="186" spans="1:10" x14ac:dyDescent="0.25">
      <c r="A186" s="1" t="s">
        <v>208</v>
      </c>
      <c r="B186">
        <v>33</v>
      </c>
      <c r="C186" s="1" t="s">
        <v>15</v>
      </c>
      <c r="D186" s="1" t="s">
        <v>12</v>
      </c>
      <c r="E186" s="1" t="s">
        <v>13</v>
      </c>
      <c r="F186">
        <v>6</v>
      </c>
      <c r="G186">
        <v>7</v>
      </c>
      <c r="H186">
        <v>3.2</v>
      </c>
      <c r="I186">
        <v>51000</v>
      </c>
      <c r="J186" s="1" t="s">
        <v>834</v>
      </c>
    </row>
    <row r="187" spans="1:10" x14ac:dyDescent="0.25">
      <c r="A187" s="1" t="s">
        <v>209</v>
      </c>
      <c r="B187">
        <v>38</v>
      </c>
      <c r="C187" s="1" t="s">
        <v>11</v>
      </c>
      <c r="D187" s="1" t="s">
        <v>25</v>
      </c>
      <c r="E187" s="1" t="s">
        <v>26</v>
      </c>
      <c r="F187">
        <v>9</v>
      </c>
      <c r="G187">
        <v>8</v>
      </c>
      <c r="H187">
        <v>3.1</v>
      </c>
      <c r="I187">
        <v>50000</v>
      </c>
      <c r="J187" s="1" t="s">
        <v>834</v>
      </c>
    </row>
    <row r="188" spans="1:10" x14ac:dyDescent="0.25">
      <c r="A188" s="1" t="s">
        <v>210</v>
      </c>
      <c r="B188">
        <v>42</v>
      </c>
      <c r="C188" s="1" t="s">
        <v>11</v>
      </c>
      <c r="D188" s="1" t="s">
        <v>16</v>
      </c>
      <c r="E188" s="1" t="s">
        <v>17</v>
      </c>
      <c r="F188">
        <v>11</v>
      </c>
      <c r="G188">
        <v>9</v>
      </c>
      <c r="H188">
        <v>4.4000000000000004</v>
      </c>
      <c r="I188">
        <v>63000</v>
      </c>
      <c r="J188" s="1" t="s">
        <v>835</v>
      </c>
    </row>
    <row r="189" spans="1:10" x14ac:dyDescent="0.25">
      <c r="A189" s="1" t="s">
        <v>211</v>
      </c>
      <c r="B189">
        <v>34</v>
      </c>
      <c r="C189" s="1" t="s">
        <v>15</v>
      </c>
      <c r="D189" s="1" t="s">
        <v>28</v>
      </c>
      <c r="E189" s="1" t="s">
        <v>29</v>
      </c>
      <c r="F189">
        <v>7</v>
      </c>
      <c r="G189">
        <v>7</v>
      </c>
      <c r="H189">
        <v>3.8</v>
      </c>
      <c r="I189">
        <v>57000</v>
      </c>
      <c r="J189" s="1" t="s">
        <v>834</v>
      </c>
    </row>
    <row r="190" spans="1:10" x14ac:dyDescent="0.25">
      <c r="A190" s="1" t="s">
        <v>212</v>
      </c>
      <c r="B190">
        <v>29</v>
      </c>
      <c r="C190" s="1" t="s">
        <v>11</v>
      </c>
      <c r="D190" s="1" t="s">
        <v>12</v>
      </c>
      <c r="E190" s="1" t="s">
        <v>13</v>
      </c>
      <c r="F190">
        <v>5</v>
      </c>
      <c r="G190">
        <v>6</v>
      </c>
      <c r="H190">
        <v>3.9</v>
      </c>
      <c r="I190">
        <v>58000</v>
      </c>
      <c r="J190" s="1" t="s">
        <v>834</v>
      </c>
    </row>
    <row r="191" spans="1:10" x14ac:dyDescent="0.25">
      <c r="A191" s="1" t="s">
        <v>213</v>
      </c>
      <c r="B191">
        <v>31</v>
      </c>
      <c r="C191" s="1" t="s">
        <v>11</v>
      </c>
      <c r="D191" s="1" t="s">
        <v>25</v>
      </c>
      <c r="E191" s="1" t="s">
        <v>26</v>
      </c>
      <c r="F191">
        <v>6</v>
      </c>
      <c r="G191">
        <v>7</v>
      </c>
      <c r="H191">
        <v>3.5</v>
      </c>
      <c r="I191">
        <v>55000</v>
      </c>
      <c r="J191" s="1" t="s">
        <v>834</v>
      </c>
    </row>
    <row r="192" spans="1:10" x14ac:dyDescent="0.25">
      <c r="A192" s="1" t="s">
        <v>214</v>
      </c>
      <c r="B192">
        <v>36</v>
      </c>
      <c r="C192" s="1" t="s">
        <v>11</v>
      </c>
      <c r="D192" s="1" t="s">
        <v>19</v>
      </c>
      <c r="E192" s="1" t="s">
        <v>17</v>
      </c>
      <c r="F192">
        <v>8</v>
      </c>
      <c r="G192">
        <v>8</v>
      </c>
      <c r="H192">
        <v>3.4</v>
      </c>
      <c r="I192">
        <v>54000</v>
      </c>
      <c r="J192" s="1" t="s">
        <v>834</v>
      </c>
    </row>
    <row r="193" spans="1:10" x14ac:dyDescent="0.25">
      <c r="A193" s="1" t="s">
        <v>215</v>
      </c>
      <c r="B193">
        <v>32</v>
      </c>
      <c r="C193" s="1" t="s">
        <v>15</v>
      </c>
      <c r="D193" s="1" t="s">
        <v>16</v>
      </c>
      <c r="E193" s="1" t="s">
        <v>17</v>
      </c>
      <c r="F193">
        <v>6</v>
      </c>
      <c r="G193">
        <v>7</v>
      </c>
      <c r="H193">
        <v>3.6</v>
      </c>
      <c r="I193">
        <v>56000</v>
      </c>
      <c r="J193" s="1" t="s">
        <v>834</v>
      </c>
    </row>
    <row r="194" spans="1:10" x14ac:dyDescent="0.25">
      <c r="A194" s="1" t="s">
        <v>216</v>
      </c>
      <c r="B194">
        <v>40</v>
      </c>
      <c r="C194" s="1" t="s">
        <v>11</v>
      </c>
      <c r="D194" s="1" t="s">
        <v>12</v>
      </c>
      <c r="E194" s="1" t="s">
        <v>13</v>
      </c>
      <c r="F194">
        <v>8</v>
      </c>
      <c r="G194">
        <v>8</v>
      </c>
      <c r="H194">
        <v>3.7</v>
      </c>
      <c r="I194">
        <v>57000</v>
      </c>
      <c r="J194" s="1" t="s">
        <v>834</v>
      </c>
    </row>
    <row r="195" spans="1:10" x14ac:dyDescent="0.25">
      <c r="A195" s="1" t="s">
        <v>217</v>
      </c>
      <c r="B195">
        <v>27</v>
      </c>
      <c r="C195" s="1" t="s">
        <v>11</v>
      </c>
      <c r="D195" s="1" t="s">
        <v>22</v>
      </c>
      <c r="E195" s="1" t="s">
        <v>23</v>
      </c>
      <c r="F195">
        <v>4</v>
      </c>
      <c r="G195">
        <v>6</v>
      </c>
      <c r="H195">
        <v>3.9</v>
      </c>
      <c r="I195">
        <v>58000</v>
      </c>
      <c r="J195" s="1" t="s">
        <v>834</v>
      </c>
    </row>
    <row r="196" spans="1:10" x14ac:dyDescent="0.25">
      <c r="A196" s="1" t="s">
        <v>218</v>
      </c>
      <c r="B196">
        <v>38</v>
      </c>
      <c r="C196" s="1" t="s">
        <v>15</v>
      </c>
      <c r="D196" s="1" t="s">
        <v>19</v>
      </c>
      <c r="E196" s="1" t="s">
        <v>20</v>
      </c>
      <c r="F196">
        <v>9</v>
      </c>
      <c r="G196">
        <v>8</v>
      </c>
      <c r="H196">
        <v>4</v>
      </c>
      <c r="I196">
        <v>59000</v>
      </c>
      <c r="J196" s="1" t="s">
        <v>834</v>
      </c>
    </row>
    <row r="197" spans="1:10" x14ac:dyDescent="0.25">
      <c r="A197" s="1" t="s">
        <v>219</v>
      </c>
      <c r="B197">
        <v>45</v>
      </c>
      <c r="C197" s="1" t="s">
        <v>11</v>
      </c>
      <c r="D197" s="1" t="s">
        <v>25</v>
      </c>
      <c r="E197" s="1" t="s">
        <v>26</v>
      </c>
      <c r="F197">
        <v>10</v>
      </c>
      <c r="G197">
        <v>8</v>
      </c>
      <c r="H197">
        <v>4.0999999999999996</v>
      </c>
      <c r="I197">
        <v>60000</v>
      </c>
      <c r="J197" s="1" t="s">
        <v>834</v>
      </c>
    </row>
    <row r="198" spans="1:10" x14ac:dyDescent="0.25">
      <c r="A198" s="1" t="s">
        <v>220</v>
      </c>
      <c r="B198">
        <v>30</v>
      </c>
      <c r="C198" s="1" t="s">
        <v>11</v>
      </c>
      <c r="D198" s="1" t="s">
        <v>16</v>
      </c>
      <c r="E198" s="1" t="s">
        <v>17</v>
      </c>
      <c r="F198">
        <v>5</v>
      </c>
      <c r="G198">
        <v>6</v>
      </c>
      <c r="H198">
        <v>4.2</v>
      </c>
      <c r="I198">
        <v>61000</v>
      </c>
      <c r="J198" s="1" t="s">
        <v>834</v>
      </c>
    </row>
    <row r="199" spans="1:10" x14ac:dyDescent="0.25">
      <c r="A199" s="1" t="s">
        <v>221</v>
      </c>
      <c r="B199">
        <v>31</v>
      </c>
      <c r="C199" s="1" t="s">
        <v>15</v>
      </c>
      <c r="D199" s="1" t="s">
        <v>28</v>
      </c>
      <c r="E199" s="1" t="s">
        <v>29</v>
      </c>
      <c r="F199">
        <v>6</v>
      </c>
      <c r="G199">
        <v>7</v>
      </c>
      <c r="H199">
        <v>4.3</v>
      </c>
      <c r="I199">
        <v>62000</v>
      </c>
      <c r="J199" s="1" t="s">
        <v>834</v>
      </c>
    </row>
    <row r="200" spans="1:10" x14ac:dyDescent="0.25">
      <c r="A200" s="1" t="s">
        <v>222</v>
      </c>
      <c r="B200">
        <v>36</v>
      </c>
      <c r="C200" s="1" t="s">
        <v>11</v>
      </c>
      <c r="D200" s="1" t="s">
        <v>12</v>
      </c>
      <c r="E200" s="1" t="s">
        <v>13</v>
      </c>
      <c r="F200">
        <v>7</v>
      </c>
      <c r="G200">
        <v>7</v>
      </c>
      <c r="H200">
        <v>4.5</v>
      </c>
      <c r="I200">
        <v>64000</v>
      </c>
      <c r="J200" s="1" t="s">
        <v>834</v>
      </c>
    </row>
    <row r="201" spans="1:10" x14ac:dyDescent="0.25">
      <c r="A201" s="1" t="s">
        <v>223</v>
      </c>
      <c r="B201">
        <v>34</v>
      </c>
      <c r="C201" s="1" t="s">
        <v>11</v>
      </c>
      <c r="D201" s="1" t="s">
        <v>19</v>
      </c>
      <c r="E201" s="1" t="s">
        <v>17</v>
      </c>
      <c r="F201">
        <v>8</v>
      </c>
      <c r="G201">
        <v>8</v>
      </c>
      <c r="H201">
        <v>4.7</v>
      </c>
      <c r="I201">
        <v>66000</v>
      </c>
      <c r="J201" s="1" t="s">
        <v>834</v>
      </c>
    </row>
    <row r="202" spans="1:10" x14ac:dyDescent="0.25">
      <c r="A202" s="1" t="s">
        <v>224</v>
      </c>
      <c r="B202">
        <v>30</v>
      </c>
      <c r="C202" s="1" t="s">
        <v>11</v>
      </c>
      <c r="D202" s="1" t="s">
        <v>19</v>
      </c>
      <c r="E202" s="1" t="s">
        <v>20</v>
      </c>
      <c r="F202">
        <v>6</v>
      </c>
      <c r="G202">
        <v>7</v>
      </c>
      <c r="H202">
        <v>3.5</v>
      </c>
      <c r="I202">
        <v>55000</v>
      </c>
      <c r="J202" s="1" t="s">
        <v>834</v>
      </c>
    </row>
    <row r="203" spans="1:10" x14ac:dyDescent="0.25">
      <c r="A203" s="1" t="s">
        <v>225</v>
      </c>
      <c r="B203">
        <v>42</v>
      </c>
      <c r="C203" s="1" t="s">
        <v>11</v>
      </c>
      <c r="D203" s="1" t="s">
        <v>28</v>
      </c>
      <c r="E203" s="1" t="s">
        <v>29</v>
      </c>
      <c r="F203">
        <v>12</v>
      </c>
      <c r="G203">
        <v>9</v>
      </c>
      <c r="H203">
        <v>4.4000000000000004</v>
      </c>
      <c r="I203">
        <v>59000</v>
      </c>
      <c r="J203" s="1" t="s">
        <v>834</v>
      </c>
    </row>
    <row r="204" spans="1:10" x14ac:dyDescent="0.25">
      <c r="A204" s="1" t="s">
        <v>226</v>
      </c>
      <c r="B204">
        <v>31</v>
      </c>
      <c r="C204" s="1" t="s">
        <v>15</v>
      </c>
      <c r="D204" s="1" t="s">
        <v>22</v>
      </c>
      <c r="E204" s="1" t="s">
        <v>23</v>
      </c>
      <c r="F204">
        <v>7</v>
      </c>
      <c r="G204">
        <v>7</v>
      </c>
      <c r="H204">
        <v>3.6</v>
      </c>
      <c r="I204">
        <v>57000</v>
      </c>
      <c r="J204" s="1" t="s">
        <v>835</v>
      </c>
    </row>
    <row r="205" spans="1:10" x14ac:dyDescent="0.25">
      <c r="A205" s="1" t="s">
        <v>227</v>
      </c>
      <c r="B205">
        <v>35</v>
      </c>
      <c r="C205" s="1" t="s">
        <v>11</v>
      </c>
      <c r="D205" s="1" t="s">
        <v>12</v>
      </c>
      <c r="E205" s="1" t="s">
        <v>13</v>
      </c>
      <c r="F205">
        <v>8</v>
      </c>
      <c r="G205">
        <v>7</v>
      </c>
      <c r="H205">
        <v>3.7</v>
      </c>
      <c r="I205">
        <v>58000</v>
      </c>
      <c r="J205" s="1" t="s">
        <v>835</v>
      </c>
    </row>
    <row r="206" spans="1:10" x14ac:dyDescent="0.25">
      <c r="A206" s="1" t="s">
        <v>228</v>
      </c>
      <c r="B206">
        <v>33</v>
      </c>
      <c r="C206" s="1" t="s">
        <v>11</v>
      </c>
      <c r="D206" s="1" t="s">
        <v>25</v>
      </c>
      <c r="E206" s="1" t="s">
        <v>26</v>
      </c>
      <c r="F206">
        <v>7</v>
      </c>
      <c r="G206">
        <v>7</v>
      </c>
      <c r="H206">
        <v>3.8</v>
      </c>
      <c r="I206">
        <v>59000</v>
      </c>
      <c r="J206" s="1" t="s">
        <v>834</v>
      </c>
    </row>
    <row r="207" spans="1:10" x14ac:dyDescent="0.25">
      <c r="A207" s="1" t="s">
        <v>229</v>
      </c>
      <c r="B207">
        <v>34</v>
      </c>
      <c r="C207" s="1" t="s">
        <v>11</v>
      </c>
      <c r="D207" s="1" t="s">
        <v>16</v>
      </c>
      <c r="E207" s="1" t="s">
        <v>17</v>
      </c>
      <c r="F207">
        <v>8</v>
      </c>
      <c r="G207">
        <v>8</v>
      </c>
      <c r="H207">
        <v>4</v>
      </c>
      <c r="I207">
        <v>60000</v>
      </c>
      <c r="J207" s="1" t="s">
        <v>835</v>
      </c>
    </row>
    <row r="208" spans="1:10" x14ac:dyDescent="0.25">
      <c r="A208" s="1" t="s">
        <v>230</v>
      </c>
      <c r="B208">
        <v>27</v>
      </c>
      <c r="C208" s="1" t="s">
        <v>15</v>
      </c>
      <c r="D208" s="1" t="s">
        <v>19</v>
      </c>
      <c r="E208" s="1" t="s">
        <v>20</v>
      </c>
      <c r="F208">
        <v>3</v>
      </c>
      <c r="G208">
        <v>6</v>
      </c>
      <c r="H208">
        <v>3.2</v>
      </c>
      <c r="I208">
        <v>52000</v>
      </c>
      <c r="J208" s="1" t="s">
        <v>834</v>
      </c>
    </row>
    <row r="209" spans="1:10" x14ac:dyDescent="0.25">
      <c r="A209" s="1" t="s">
        <v>231</v>
      </c>
      <c r="B209">
        <v>38</v>
      </c>
      <c r="C209" s="1" t="s">
        <v>11</v>
      </c>
      <c r="D209" s="1" t="s">
        <v>12</v>
      </c>
      <c r="E209" s="1" t="s">
        <v>13</v>
      </c>
      <c r="F209">
        <v>9</v>
      </c>
      <c r="G209">
        <v>8</v>
      </c>
      <c r="H209">
        <v>4.2</v>
      </c>
      <c r="I209">
        <v>62000</v>
      </c>
      <c r="J209" s="1" t="s">
        <v>834</v>
      </c>
    </row>
    <row r="210" spans="1:10" x14ac:dyDescent="0.25">
      <c r="A210" s="1" t="s">
        <v>232</v>
      </c>
      <c r="B210">
        <v>45</v>
      </c>
      <c r="C210" s="1" t="s">
        <v>11</v>
      </c>
      <c r="D210" s="1" t="s">
        <v>28</v>
      </c>
      <c r="E210" s="1" t="s">
        <v>29</v>
      </c>
      <c r="F210">
        <v>15</v>
      </c>
      <c r="G210">
        <v>8</v>
      </c>
      <c r="H210">
        <v>4.5999999999999996</v>
      </c>
      <c r="I210">
        <v>67000</v>
      </c>
      <c r="J210" s="1" t="s">
        <v>834</v>
      </c>
    </row>
    <row r="211" spans="1:10" x14ac:dyDescent="0.25">
      <c r="A211" s="1" t="s">
        <v>233</v>
      </c>
      <c r="B211">
        <v>29</v>
      </c>
      <c r="C211" s="1" t="s">
        <v>15</v>
      </c>
      <c r="D211" s="1" t="s">
        <v>25</v>
      </c>
      <c r="E211" s="1" t="s">
        <v>26</v>
      </c>
      <c r="F211">
        <v>4</v>
      </c>
      <c r="G211">
        <v>7</v>
      </c>
      <c r="H211">
        <v>3.3</v>
      </c>
      <c r="I211">
        <v>53000</v>
      </c>
      <c r="J211" s="1" t="s">
        <v>834</v>
      </c>
    </row>
    <row r="212" spans="1:10" x14ac:dyDescent="0.25">
      <c r="A212" s="1" t="s">
        <v>234</v>
      </c>
      <c r="B212">
        <v>31</v>
      </c>
      <c r="C212" s="1" t="s">
        <v>11</v>
      </c>
      <c r="D212" s="1" t="s">
        <v>19</v>
      </c>
      <c r="E212" s="1" t="s">
        <v>20</v>
      </c>
      <c r="F212">
        <v>5</v>
      </c>
      <c r="G212">
        <v>6</v>
      </c>
      <c r="H212">
        <v>3.4</v>
      </c>
      <c r="I212">
        <v>54000</v>
      </c>
      <c r="J212" s="1" t="s">
        <v>834</v>
      </c>
    </row>
    <row r="213" spans="1:10" x14ac:dyDescent="0.25">
      <c r="A213" s="1" t="s">
        <v>235</v>
      </c>
      <c r="B213">
        <v>44</v>
      </c>
      <c r="C213" s="1" t="s">
        <v>15</v>
      </c>
      <c r="D213" s="1" t="s">
        <v>22</v>
      </c>
      <c r="E213" s="1" t="s">
        <v>23</v>
      </c>
      <c r="F213">
        <v>10</v>
      </c>
      <c r="G213">
        <v>8</v>
      </c>
      <c r="H213">
        <v>4.0999999999999996</v>
      </c>
      <c r="I213">
        <v>64000</v>
      </c>
      <c r="J213" s="1" t="s">
        <v>835</v>
      </c>
    </row>
    <row r="214" spans="1:10" x14ac:dyDescent="0.25">
      <c r="A214" s="1" t="s">
        <v>236</v>
      </c>
      <c r="B214">
        <v>37</v>
      </c>
      <c r="C214" s="1" t="s">
        <v>11</v>
      </c>
      <c r="D214" s="1" t="s">
        <v>12</v>
      </c>
      <c r="E214" s="1" t="s">
        <v>13</v>
      </c>
      <c r="F214">
        <v>7</v>
      </c>
      <c r="G214">
        <v>7</v>
      </c>
      <c r="H214">
        <v>3.5</v>
      </c>
      <c r="I214">
        <v>56000</v>
      </c>
      <c r="J214" s="1" t="s">
        <v>834</v>
      </c>
    </row>
    <row r="215" spans="1:10" x14ac:dyDescent="0.25">
      <c r="A215" s="1" t="s">
        <v>237</v>
      </c>
      <c r="B215">
        <v>39</v>
      </c>
      <c r="C215" s="1" t="s">
        <v>11</v>
      </c>
      <c r="D215" s="1" t="s">
        <v>25</v>
      </c>
      <c r="E215" s="1" t="s">
        <v>26</v>
      </c>
      <c r="F215">
        <v>8</v>
      </c>
      <c r="G215">
        <v>8</v>
      </c>
      <c r="H215">
        <v>3.6</v>
      </c>
      <c r="I215">
        <v>57000</v>
      </c>
      <c r="J215" s="1" t="s">
        <v>834</v>
      </c>
    </row>
    <row r="216" spans="1:10" x14ac:dyDescent="0.25">
      <c r="A216" s="1" t="s">
        <v>238</v>
      </c>
      <c r="B216">
        <v>35</v>
      </c>
      <c r="C216" s="1" t="s">
        <v>15</v>
      </c>
      <c r="D216" s="1" t="s">
        <v>16</v>
      </c>
      <c r="E216" s="1" t="s">
        <v>17</v>
      </c>
      <c r="F216">
        <v>6</v>
      </c>
      <c r="G216">
        <v>7</v>
      </c>
      <c r="H216">
        <v>3.7</v>
      </c>
      <c r="I216">
        <v>58000</v>
      </c>
      <c r="J216" s="1" t="s">
        <v>834</v>
      </c>
    </row>
    <row r="217" spans="1:10" x14ac:dyDescent="0.25">
      <c r="A217" s="1" t="s">
        <v>239</v>
      </c>
      <c r="B217">
        <v>36</v>
      </c>
      <c r="C217" s="1" t="s">
        <v>11</v>
      </c>
      <c r="D217" s="1" t="s">
        <v>19</v>
      </c>
      <c r="E217" s="1" t="s">
        <v>17</v>
      </c>
      <c r="F217">
        <v>7</v>
      </c>
      <c r="G217">
        <v>7</v>
      </c>
      <c r="H217">
        <v>3.8</v>
      </c>
      <c r="I217">
        <v>59000</v>
      </c>
      <c r="J217" s="1" t="s">
        <v>834</v>
      </c>
    </row>
    <row r="218" spans="1:10" x14ac:dyDescent="0.25">
      <c r="A218" s="1" t="s">
        <v>240</v>
      </c>
      <c r="B218">
        <v>30</v>
      </c>
      <c r="C218" s="1" t="s">
        <v>11</v>
      </c>
      <c r="D218" s="1" t="s">
        <v>12</v>
      </c>
      <c r="E218" s="1" t="s">
        <v>13</v>
      </c>
      <c r="F218">
        <v>5</v>
      </c>
      <c r="G218">
        <v>6</v>
      </c>
      <c r="H218">
        <v>3.9</v>
      </c>
      <c r="I218">
        <v>60000</v>
      </c>
      <c r="J218" s="1" t="s">
        <v>834</v>
      </c>
    </row>
    <row r="219" spans="1:10" x14ac:dyDescent="0.25">
      <c r="A219" s="1" t="s">
        <v>241</v>
      </c>
      <c r="B219">
        <v>31</v>
      </c>
      <c r="C219" s="1" t="s">
        <v>15</v>
      </c>
      <c r="D219" s="1" t="s">
        <v>28</v>
      </c>
      <c r="E219" s="1" t="s">
        <v>29</v>
      </c>
      <c r="F219">
        <v>6</v>
      </c>
      <c r="G219">
        <v>7</v>
      </c>
      <c r="H219">
        <v>4</v>
      </c>
      <c r="I219">
        <v>61000</v>
      </c>
      <c r="J219" s="1" t="s">
        <v>834</v>
      </c>
    </row>
    <row r="220" spans="1:10" x14ac:dyDescent="0.25">
      <c r="A220" s="1" t="s">
        <v>242</v>
      </c>
      <c r="B220">
        <v>38</v>
      </c>
      <c r="C220" s="1" t="s">
        <v>11</v>
      </c>
      <c r="D220" s="1" t="s">
        <v>25</v>
      </c>
      <c r="E220" s="1" t="s">
        <v>26</v>
      </c>
      <c r="F220">
        <v>9</v>
      </c>
      <c r="G220">
        <v>8</v>
      </c>
      <c r="H220">
        <v>4.2</v>
      </c>
      <c r="I220">
        <v>62000</v>
      </c>
      <c r="J220" s="1" t="s">
        <v>834</v>
      </c>
    </row>
    <row r="221" spans="1:10" x14ac:dyDescent="0.25">
      <c r="A221" s="1" t="s">
        <v>243</v>
      </c>
      <c r="B221">
        <v>34</v>
      </c>
      <c r="C221" s="1" t="s">
        <v>11</v>
      </c>
      <c r="D221" s="1" t="s">
        <v>19</v>
      </c>
      <c r="E221" s="1" t="s">
        <v>20</v>
      </c>
      <c r="F221">
        <v>8</v>
      </c>
      <c r="G221">
        <v>8</v>
      </c>
      <c r="H221">
        <v>4.3</v>
      </c>
      <c r="I221">
        <v>63000</v>
      </c>
      <c r="J221" s="1" t="s">
        <v>834</v>
      </c>
    </row>
    <row r="222" spans="1:10" x14ac:dyDescent="0.25">
      <c r="A222" s="1" t="s">
        <v>244</v>
      </c>
      <c r="B222">
        <v>37</v>
      </c>
      <c r="C222" s="1" t="s">
        <v>15</v>
      </c>
      <c r="D222" s="1" t="s">
        <v>12</v>
      </c>
      <c r="E222" s="1" t="s">
        <v>13</v>
      </c>
      <c r="F222">
        <v>9</v>
      </c>
      <c r="G222">
        <v>8</v>
      </c>
      <c r="H222">
        <v>4.4000000000000004</v>
      </c>
      <c r="I222">
        <v>64000</v>
      </c>
      <c r="J222" s="1" t="s">
        <v>834</v>
      </c>
    </row>
    <row r="223" spans="1:10" x14ac:dyDescent="0.25">
      <c r="A223" s="1" t="s">
        <v>245</v>
      </c>
      <c r="B223">
        <v>40</v>
      </c>
      <c r="C223" s="1" t="s">
        <v>11</v>
      </c>
      <c r="D223" s="1" t="s">
        <v>16</v>
      </c>
      <c r="E223" s="1" t="s">
        <v>17</v>
      </c>
      <c r="F223">
        <v>10</v>
      </c>
      <c r="G223">
        <v>8</v>
      </c>
      <c r="H223">
        <v>4.5</v>
      </c>
      <c r="I223">
        <v>65000</v>
      </c>
      <c r="J223" s="1" t="s">
        <v>834</v>
      </c>
    </row>
    <row r="224" spans="1:10" x14ac:dyDescent="0.25">
      <c r="A224" s="1" t="s">
        <v>246</v>
      </c>
      <c r="B224">
        <v>36</v>
      </c>
      <c r="C224" s="1" t="s">
        <v>11</v>
      </c>
      <c r="D224" s="1" t="s">
        <v>22</v>
      </c>
      <c r="E224" s="1" t="s">
        <v>23</v>
      </c>
      <c r="F224">
        <v>7</v>
      </c>
      <c r="G224">
        <v>7</v>
      </c>
      <c r="H224">
        <v>4.5999999999999996</v>
      </c>
      <c r="I224">
        <v>66000</v>
      </c>
      <c r="J224" s="1" t="s">
        <v>834</v>
      </c>
    </row>
    <row r="225" spans="1:10" x14ac:dyDescent="0.25">
      <c r="A225" s="1" t="s">
        <v>247</v>
      </c>
      <c r="B225">
        <v>29</v>
      </c>
      <c r="C225" s="1" t="s">
        <v>11</v>
      </c>
      <c r="D225" s="1" t="s">
        <v>19</v>
      </c>
      <c r="E225" s="1" t="s">
        <v>20</v>
      </c>
      <c r="F225">
        <v>4</v>
      </c>
      <c r="G225">
        <v>6</v>
      </c>
      <c r="H225">
        <v>3</v>
      </c>
      <c r="I225">
        <v>49000</v>
      </c>
      <c r="J225" s="1" t="s">
        <v>834</v>
      </c>
    </row>
    <row r="226" spans="1:10" x14ac:dyDescent="0.25">
      <c r="A226" s="1" t="s">
        <v>248</v>
      </c>
      <c r="B226">
        <v>30</v>
      </c>
      <c r="C226" s="1" t="s">
        <v>11</v>
      </c>
      <c r="D226" s="1" t="s">
        <v>12</v>
      </c>
      <c r="E226" s="1" t="s">
        <v>13</v>
      </c>
      <c r="F226">
        <v>5</v>
      </c>
      <c r="G226">
        <v>7</v>
      </c>
      <c r="H226">
        <v>3.1</v>
      </c>
      <c r="I226">
        <v>50000</v>
      </c>
      <c r="J226" s="1" t="s">
        <v>834</v>
      </c>
    </row>
    <row r="227" spans="1:10" x14ac:dyDescent="0.25">
      <c r="A227" s="1" t="s">
        <v>249</v>
      </c>
      <c r="B227">
        <v>41</v>
      </c>
      <c r="C227" s="1" t="s">
        <v>15</v>
      </c>
      <c r="D227" s="1" t="s">
        <v>25</v>
      </c>
      <c r="E227" s="1" t="s">
        <v>26</v>
      </c>
      <c r="F227">
        <v>11</v>
      </c>
      <c r="G227">
        <v>9</v>
      </c>
      <c r="H227">
        <v>4.7</v>
      </c>
      <c r="I227">
        <v>67000</v>
      </c>
      <c r="J227" s="1" t="s">
        <v>834</v>
      </c>
    </row>
    <row r="228" spans="1:10" x14ac:dyDescent="0.25">
      <c r="A228" s="1" t="s">
        <v>250</v>
      </c>
      <c r="B228">
        <v>31</v>
      </c>
      <c r="C228" s="1" t="s">
        <v>11</v>
      </c>
      <c r="D228" s="1" t="s">
        <v>16</v>
      </c>
      <c r="E228" s="1" t="s">
        <v>17</v>
      </c>
      <c r="F228">
        <v>6</v>
      </c>
      <c r="G228">
        <v>7</v>
      </c>
      <c r="H228">
        <v>3.2</v>
      </c>
      <c r="I228">
        <v>51000</v>
      </c>
      <c r="J228" s="1" t="s">
        <v>834</v>
      </c>
    </row>
    <row r="229" spans="1:10" x14ac:dyDescent="0.25">
      <c r="A229" s="1" t="s">
        <v>251</v>
      </c>
      <c r="B229">
        <v>28</v>
      </c>
      <c r="C229" s="1" t="s">
        <v>11</v>
      </c>
      <c r="D229" s="1" t="s">
        <v>28</v>
      </c>
      <c r="E229" s="1" t="s">
        <v>29</v>
      </c>
      <c r="F229">
        <v>3</v>
      </c>
      <c r="G229">
        <v>6</v>
      </c>
      <c r="H229">
        <v>3.3</v>
      </c>
      <c r="I229">
        <v>52000</v>
      </c>
      <c r="J229" s="1" t="s">
        <v>834</v>
      </c>
    </row>
    <row r="230" spans="1:10" x14ac:dyDescent="0.25">
      <c r="A230" s="1" t="s">
        <v>252</v>
      </c>
      <c r="B230">
        <v>36</v>
      </c>
      <c r="C230" s="1" t="s">
        <v>11</v>
      </c>
      <c r="D230" s="1" t="s">
        <v>12</v>
      </c>
      <c r="E230" s="1" t="s">
        <v>13</v>
      </c>
      <c r="F230">
        <v>7</v>
      </c>
      <c r="G230">
        <v>7</v>
      </c>
      <c r="H230">
        <v>3.4</v>
      </c>
      <c r="I230">
        <v>53000</v>
      </c>
      <c r="J230" s="1" t="s">
        <v>834</v>
      </c>
    </row>
    <row r="231" spans="1:10" x14ac:dyDescent="0.25">
      <c r="A231" s="1" t="s">
        <v>253</v>
      </c>
      <c r="B231">
        <v>30</v>
      </c>
      <c r="C231" s="1" t="s">
        <v>15</v>
      </c>
      <c r="D231" s="1" t="s">
        <v>19</v>
      </c>
      <c r="E231" s="1" t="s">
        <v>20</v>
      </c>
      <c r="F231">
        <v>6</v>
      </c>
      <c r="G231">
        <v>7</v>
      </c>
      <c r="H231">
        <v>3.5</v>
      </c>
      <c r="I231">
        <v>54000</v>
      </c>
      <c r="J231" s="1" t="s">
        <v>834</v>
      </c>
    </row>
    <row r="232" spans="1:10" x14ac:dyDescent="0.25">
      <c r="A232" s="1" t="s">
        <v>254</v>
      </c>
      <c r="B232">
        <v>40</v>
      </c>
      <c r="C232" s="1" t="s">
        <v>11</v>
      </c>
      <c r="D232" s="1" t="s">
        <v>22</v>
      </c>
      <c r="E232" s="1" t="s">
        <v>23</v>
      </c>
      <c r="F232">
        <v>8</v>
      </c>
      <c r="G232">
        <v>8</v>
      </c>
      <c r="H232">
        <v>3.6</v>
      </c>
      <c r="I232">
        <v>55000</v>
      </c>
      <c r="J232" s="1" t="s">
        <v>834</v>
      </c>
    </row>
    <row r="233" spans="1:10" x14ac:dyDescent="0.25">
      <c r="A233" s="1" t="s">
        <v>255</v>
      </c>
      <c r="B233">
        <v>35</v>
      </c>
      <c r="C233" s="1" t="s">
        <v>11</v>
      </c>
      <c r="D233" s="1" t="s">
        <v>25</v>
      </c>
      <c r="E233" s="1" t="s">
        <v>26</v>
      </c>
      <c r="F233">
        <v>7</v>
      </c>
      <c r="G233">
        <v>7</v>
      </c>
      <c r="H233">
        <v>3.7</v>
      </c>
      <c r="I233">
        <v>56000</v>
      </c>
      <c r="J233" s="1" t="s">
        <v>834</v>
      </c>
    </row>
    <row r="234" spans="1:10" x14ac:dyDescent="0.25">
      <c r="A234" s="1" t="s">
        <v>256</v>
      </c>
      <c r="B234">
        <v>34</v>
      </c>
      <c r="C234" s="1" t="s">
        <v>11</v>
      </c>
      <c r="D234" s="1" t="s">
        <v>16</v>
      </c>
      <c r="E234" s="1" t="s">
        <v>17</v>
      </c>
      <c r="F234">
        <v>6</v>
      </c>
      <c r="G234">
        <v>7</v>
      </c>
      <c r="H234">
        <v>3.8</v>
      </c>
      <c r="I234">
        <v>57000</v>
      </c>
      <c r="J234" s="1" t="s">
        <v>834</v>
      </c>
    </row>
    <row r="235" spans="1:10" x14ac:dyDescent="0.25">
      <c r="A235" s="1" t="s">
        <v>257</v>
      </c>
      <c r="B235">
        <v>26</v>
      </c>
      <c r="C235" s="1" t="s">
        <v>15</v>
      </c>
      <c r="D235" s="1" t="s">
        <v>12</v>
      </c>
      <c r="E235" s="1" t="s">
        <v>13</v>
      </c>
      <c r="F235">
        <v>4</v>
      </c>
      <c r="G235">
        <v>6</v>
      </c>
      <c r="H235">
        <v>3.9</v>
      </c>
      <c r="I235">
        <v>58000</v>
      </c>
      <c r="J235" s="1" t="s">
        <v>834</v>
      </c>
    </row>
    <row r="236" spans="1:10" x14ac:dyDescent="0.25">
      <c r="A236" s="1" t="s">
        <v>258</v>
      </c>
      <c r="B236">
        <v>32</v>
      </c>
      <c r="C236" s="1" t="s">
        <v>11</v>
      </c>
      <c r="D236" s="1" t="s">
        <v>19</v>
      </c>
      <c r="E236" s="1" t="s">
        <v>17</v>
      </c>
      <c r="F236">
        <v>6</v>
      </c>
      <c r="G236">
        <v>7</v>
      </c>
      <c r="H236">
        <v>4</v>
      </c>
      <c r="I236">
        <v>59000</v>
      </c>
      <c r="J236" s="1" t="s">
        <v>834</v>
      </c>
    </row>
    <row r="237" spans="1:10" x14ac:dyDescent="0.25">
      <c r="A237" s="1" t="s">
        <v>259</v>
      </c>
      <c r="B237">
        <v>44</v>
      </c>
      <c r="C237" s="1" t="s">
        <v>11</v>
      </c>
      <c r="D237" s="1" t="s">
        <v>25</v>
      </c>
      <c r="E237" s="1" t="s">
        <v>26</v>
      </c>
      <c r="F237">
        <v>8</v>
      </c>
      <c r="G237">
        <v>8</v>
      </c>
      <c r="H237">
        <v>3.9</v>
      </c>
      <c r="I237">
        <v>58000</v>
      </c>
      <c r="J237" s="1" t="s">
        <v>834</v>
      </c>
    </row>
    <row r="238" spans="1:10" x14ac:dyDescent="0.25">
      <c r="A238" s="1" t="s">
        <v>260</v>
      </c>
      <c r="B238">
        <v>38</v>
      </c>
      <c r="C238" s="1" t="s">
        <v>15</v>
      </c>
      <c r="D238" s="1" t="s">
        <v>19</v>
      </c>
      <c r="E238" s="1" t="s">
        <v>17</v>
      </c>
      <c r="F238">
        <v>9</v>
      </c>
      <c r="G238">
        <v>8</v>
      </c>
      <c r="H238">
        <v>4.0999999999999996</v>
      </c>
      <c r="I238">
        <v>60000</v>
      </c>
      <c r="J238" s="1" t="s">
        <v>834</v>
      </c>
    </row>
    <row r="239" spans="1:10" x14ac:dyDescent="0.25">
      <c r="A239" s="1" t="s">
        <v>261</v>
      </c>
      <c r="B239">
        <v>45</v>
      </c>
      <c r="C239" s="1" t="s">
        <v>11</v>
      </c>
      <c r="D239" s="1" t="s">
        <v>12</v>
      </c>
      <c r="E239" s="1" t="s">
        <v>13</v>
      </c>
      <c r="F239">
        <v>10</v>
      </c>
      <c r="G239">
        <v>8</v>
      </c>
      <c r="H239">
        <v>4.2</v>
      </c>
      <c r="I239">
        <v>61000</v>
      </c>
      <c r="J239" s="1" t="s">
        <v>834</v>
      </c>
    </row>
    <row r="240" spans="1:10" x14ac:dyDescent="0.25">
      <c r="A240" s="1" t="s">
        <v>262</v>
      </c>
      <c r="B240">
        <v>29</v>
      </c>
      <c r="C240" s="1" t="s">
        <v>15</v>
      </c>
      <c r="D240" s="1" t="s">
        <v>28</v>
      </c>
      <c r="E240" s="1" t="s">
        <v>29</v>
      </c>
      <c r="F240">
        <v>4</v>
      </c>
      <c r="G240">
        <v>7</v>
      </c>
      <c r="H240">
        <v>3.8</v>
      </c>
      <c r="I240">
        <v>57000</v>
      </c>
      <c r="J240" s="1" t="s">
        <v>834</v>
      </c>
    </row>
    <row r="241" spans="1:10" x14ac:dyDescent="0.25">
      <c r="A241" s="1" t="s">
        <v>263</v>
      </c>
      <c r="B241">
        <v>31</v>
      </c>
      <c r="C241" s="1" t="s">
        <v>11</v>
      </c>
      <c r="D241" s="1" t="s">
        <v>22</v>
      </c>
      <c r="E241" s="1" t="s">
        <v>23</v>
      </c>
      <c r="F241">
        <v>5</v>
      </c>
      <c r="G241">
        <v>6</v>
      </c>
      <c r="H241">
        <v>3.7</v>
      </c>
      <c r="I241">
        <v>56000</v>
      </c>
      <c r="J241" s="1" t="s">
        <v>834</v>
      </c>
    </row>
    <row r="242" spans="1:10" x14ac:dyDescent="0.25">
      <c r="A242" s="1" t="s">
        <v>264</v>
      </c>
      <c r="B242">
        <v>39</v>
      </c>
      <c r="C242" s="1" t="s">
        <v>11</v>
      </c>
      <c r="D242" s="1" t="s">
        <v>19</v>
      </c>
      <c r="E242" s="1" t="s">
        <v>20</v>
      </c>
      <c r="F242">
        <v>7</v>
      </c>
      <c r="G242">
        <v>7</v>
      </c>
      <c r="H242">
        <v>3.8</v>
      </c>
      <c r="I242">
        <v>57000</v>
      </c>
      <c r="J242" s="1" t="s">
        <v>834</v>
      </c>
    </row>
    <row r="243" spans="1:10" x14ac:dyDescent="0.25">
      <c r="A243" s="1" t="s">
        <v>265</v>
      </c>
      <c r="B243">
        <v>35</v>
      </c>
      <c r="C243" s="1" t="s">
        <v>15</v>
      </c>
      <c r="D243" s="1" t="s">
        <v>25</v>
      </c>
      <c r="E243" s="1" t="s">
        <v>26</v>
      </c>
      <c r="F243">
        <v>6</v>
      </c>
      <c r="G243">
        <v>7</v>
      </c>
      <c r="H243">
        <v>3.9</v>
      </c>
      <c r="I243">
        <v>58000</v>
      </c>
      <c r="J243" s="1" t="s">
        <v>834</v>
      </c>
    </row>
    <row r="244" spans="1:10" x14ac:dyDescent="0.25">
      <c r="A244" s="1" t="s">
        <v>266</v>
      </c>
      <c r="B244">
        <v>33</v>
      </c>
      <c r="C244" s="1" t="s">
        <v>11</v>
      </c>
      <c r="D244" s="1" t="s">
        <v>16</v>
      </c>
      <c r="E244" s="1" t="s">
        <v>17</v>
      </c>
      <c r="F244">
        <v>5</v>
      </c>
      <c r="G244">
        <v>6</v>
      </c>
      <c r="H244">
        <v>4</v>
      </c>
      <c r="I244">
        <v>59000</v>
      </c>
      <c r="J244" s="1" t="s">
        <v>834</v>
      </c>
    </row>
    <row r="245" spans="1:10" x14ac:dyDescent="0.25">
      <c r="A245" s="1" t="s">
        <v>267</v>
      </c>
      <c r="B245">
        <v>34</v>
      </c>
      <c r="C245" s="1" t="s">
        <v>11</v>
      </c>
      <c r="D245" s="1" t="s">
        <v>12</v>
      </c>
      <c r="E245" s="1" t="s">
        <v>13</v>
      </c>
      <c r="F245">
        <v>6</v>
      </c>
      <c r="G245">
        <v>7</v>
      </c>
      <c r="H245">
        <v>4.0999999999999996</v>
      </c>
      <c r="I245">
        <v>60000</v>
      </c>
      <c r="J245" s="1" t="s">
        <v>834</v>
      </c>
    </row>
    <row r="246" spans="1:10" x14ac:dyDescent="0.25">
      <c r="A246" s="1" t="s">
        <v>268</v>
      </c>
      <c r="B246">
        <v>27</v>
      </c>
      <c r="C246" s="1" t="s">
        <v>11</v>
      </c>
      <c r="D246" s="1" t="s">
        <v>19</v>
      </c>
      <c r="E246" s="1" t="s">
        <v>17</v>
      </c>
      <c r="F246">
        <v>3</v>
      </c>
      <c r="G246">
        <v>6</v>
      </c>
      <c r="H246">
        <v>4.2</v>
      </c>
      <c r="I246">
        <v>61000</v>
      </c>
      <c r="J246" s="1" t="s">
        <v>834</v>
      </c>
    </row>
    <row r="247" spans="1:10" x14ac:dyDescent="0.25">
      <c r="A247" s="1" t="s">
        <v>269</v>
      </c>
      <c r="B247">
        <v>38</v>
      </c>
      <c r="C247" s="1" t="s">
        <v>11</v>
      </c>
      <c r="D247" s="1" t="s">
        <v>28</v>
      </c>
      <c r="E247" s="1" t="s">
        <v>29</v>
      </c>
      <c r="F247">
        <v>8</v>
      </c>
      <c r="G247">
        <v>8</v>
      </c>
      <c r="H247">
        <v>4.3</v>
      </c>
      <c r="I247">
        <v>62000</v>
      </c>
      <c r="J247" s="1" t="s">
        <v>834</v>
      </c>
    </row>
    <row r="248" spans="1:10" x14ac:dyDescent="0.25">
      <c r="A248" s="1" t="s">
        <v>270</v>
      </c>
      <c r="B248">
        <v>32</v>
      </c>
      <c r="C248" s="1" t="s">
        <v>15</v>
      </c>
      <c r="D248" s="1" t="s">
        <v>12</v>
      </c>
      <c r="E248" s="1" t="s">
        <v>13</v>
      </c>
      <c r="F248">
        <v>7</v>
      </c>
      <c r="G248">
        <v>7</v>
      </c>
      <c r="H248">
        <v>4.4000000000000004</v>
      </c>
      <c r="I248">
        <v>63000</v>
      </c>
      <c r="J248" s="1" t="s">
        <v>834</v>
      </c>
    </row>
    <row r="249" spans="1:10" x14ac:dyDescent="0.25">
      <c r="A249" s="1" t="s">
        <v>271</v>
      </c>
      <c r="B249">
        <v>37</v>
      </c>
      <c r="C249" s="1" t="s">
        <v>11</v>
      </c>
      <c r="D249" s="1" t="s">
        <v>25</v>
      </c>
      <c r="E249" s="1" t="s">
        <v>26</v>
      </c>
      <c r="F249">
        <v>8</v>
      </c>
      <c r="G249">
        <v>8</v>
      </c>
      <c r="H249">
        <v>4.5</v>
      </c>
      <c r="I249">
        <v>64000</v>
      </c>
      <c r="J249" s="1" t="s">
        <v>834</v>
      </c>
    </row>
    <row r="250" spans="1:10" x14ac:dyDescent="0.25">
      <c r="A250" s="1" t="s">
        <v>272</v>
      </c>
      <c r="B250">
        <v>40</v>
      </c>
      <c r="C250" s="1" t="s">
        <v>11</v>
      </c>
      <c r="D250" s="1" t="s">
        <v>16</v>
      </c>
      <c r="E250" s="1" t="s">
        <v>17</v>
      </c>
      <c r="F250">
        <v>9</v>
      </c>
      <c r="G250">
        <v>8</v>
      </c>
      <c r="H250">
        <v>4.5999999999999996</v>
      </c>
      <c r="I250">
        <v>65000</v>
      </c>
      <c r="J250" s="1" t="s">
        <v>834</v>
      </c>
    </row>
    <row r="251" spans="1:10" x14ac:dyDescent="0.25">
      <c r="A251" s="1" t="s">
        <v>273</v>
      </c>
      <c r="B251">
        <v>29</v>
      </c>
      <c r="C251" s="1" t="s">
        <v>15</v>
      </c>
      <c r="D251" s="1" t="s">
        <v>22</v>
      </c>
      <c r="E251" s="1" t="s">
        <v>23</v>
      </c>
      <c r="F251">
        <v>4</v>
      </c>
      <c r="G251">
        <v>6</v>
      </c>
      <c r="H251">
        <v>3</v>
      </c>
      <c r="I251">
        <v>49000</v>
      </c>
      <c r="J251" s="1" t="s">
        <v>834</v>
      </c>
    </row>
    <row r="252" spans="1:10" x14ac:dyDescent="0.25">
      <c r="A252" s="1" t="s">
        <v>274</v>
      </c>
      <c r="B252">
        <v>31</v>
      </c>
      <c r="C252" s="1" t="s">
        <v>11</v>
      </c>
      <c r="D252" s="1" t="s">
        <v>12</v>
      </c>
      <c r="E252" s="1" t="s">
        <v>13</v>
      </c>
      <c r="F252">
        <v>5</v>
      </c>
      <c r="G252">
        <v>6</v>
      </c>
      <c r="H252">
        <v>3.1</v>
      </c>
      <c r="I252">
        <v>50000</v>
      </c>
      <c r="J252" s="1" t="s">
        <v>834</v>
      </c>
    </row>
    <row r="253" spans="1:10" x14ac:dyDescent="0.25">
      <c r="A253" s="1" t="s">
        <v>275</v>
      </c>
      <c r="B253">
        <v>32</v>
      </c>
      <c r="C253" s="1" t="s">
        <v>11</v>
      </c>
      <c r="D253" s="1" t="s">
        <v>25</v>
      </c>
      <c r="E253" s="1" t="s">
        <v>26</v>
      </c>
      <c r="F253">
        <v>6</v>
      </c>
      <c r="G253">
        <v>7</v>
      </c>
      <c r="H253">
        <v>3.2</v>
      </c>
      <c r="I253">
        <v>51000</v>
      </c>
      <c r="J253" s="1" t="s">
        <v>834</v>
      </c>
    </row>
    <row r="254" spans="1:10" x14ac:dyDescent="0.25">
      <c r="A254" s="1" t="s">
        <v>276</v>
      </c>
      <c r="B254">
        <v>38</v>
      </c>
      <c r="C254" s="1" t="s">
        <v>15</v>
      </c>
      <c r="D254" s="1" t="s">
        <v>19</v>
      </c>
      <c r="E254" s="1" t="s">
        <v>20</v>
      </c>
      <c r="F254">
        <v>9</v>
      </c>
      <c r="G254">
        <v>8</v>
      </c>
      <c r="H254">
        <v>3.3</v>
      </c>
      <c r="I254">
        <v>52000</v>
      </c>
      <c r="J254" s="1" t="s">
        <v>834</v>
      </c>
    </row>
    <row r="255" spans="1:10" x14ac:dyDescent="0.25">
      <c r="A255" s="1" t="s">
        <v>277</v>
      </c>
      <c r="B255">
        <v>29</v>
      </c>
      <c r="C255" s="1" t="s">
        <v>11</v>
      </c>
      <c r="D255" s="1" t="s">
        <v>22</v>
      </c>
      <c r="E255" s="1" t="s">
        <v>23</v>
      </c>
      <c r="F255">
        <v>4</v>
      </c>
      <c r="G255">
        <v>6</v>
      </c>
      <c r="H255">
        <v>3.4</v>
      </c>
      <c r="I255">
        <v>53000</v>
      </c>
      <c r="J255" s="1" t="s">
        <v>834</v>
      </c>
    </row>
    <row r="256" spans="1:10" x14ac:dyDescent="0.25">
      <c r="A256" s="1" t="s">
        <v>278</v>
      </c>
      <c r="B256">
        <v>36</v>
      </c>
      <c r="C256" s="1" t="s">
        <v>11</v>
      </c>
      <c r="D256" s="1" t="s">
        <v>28</v>
      </c>
      <c r="E256" s="1" t="s">
        <v>29</v>
      </c>
      <c r="F256">
        <v>7</v>
      </c>
      <c r="G256">
        <v>7</v>
      </c>
      <c r="H256">
        <v>3.5</v>
      </c>
      <c r="I256">
        <v>54000</v>
      </c>
      <c r="J256" s="1" t="s">
        <v>834</v>
      </c>
    </row>
    <row r="257" spans="1:10" x14ac:dyDescent="0.25">
      <c r="A257" s="1" t="s">
        <v>279</v>
      </c>
      <c r="B257">
        <v>41</v>
      </c>
      <c r="C257" s="1" t="s">
        <v>11</v>
      </c>
      <c r="D257" s="1" t="s">
        <v>12</v>
      </c>
      <c r="E257" s="1" t="s">
        <v>13</v>
      </c>
      <c r="F257">
        <v>10</v>
      </c>
      <c r="G257">
        <v>8</v>
      </c>
      <c r="H257">
        <v>3.6</v>
      </c>
      <c r="I257">
        <v>55000</v>
      </c>
      <c r="J257" s="1" t="s">
        <v>834</v>
      </c>
    </row>
    <row r="258" spans="1:10" x14ac:dyDescent="0.25">
      <c r="A258" s="1" t="s">
        <v>280</v>
      </c>
      <c r="B258">
        <v>34</v>
      </c>
      <c r="C258" s="1" t="s">
        <v>11</v>
      </c>
      <c r="D258" s="1" t="s">
        <v>25</v>
      </c>
      <c r="E258" s="1" t="s">
        <v>26</v>
      </c>
      <c r="F258">
        <v>8</v>
      </c>
      <c r="G258">
        <v>8</v>
      </c>
      <c r="H258">
        <v>3.7</v>
      </c>
      <c r="I258">
        <v>56000</v>
      </c>
      <c r="J258" s="1" t="s">
        <v>834</v>
      </c>
    </row>
    <row r="259" spans="1:10" x14ac:dyDescent="0.25">
      <c r="A259" s="1" t="s">
        <v>281</v>
      </c>
      <c r="B259">
        <v>37</v>
      </c>
      <c r="C259" s="1" t="s">
        <v>11</v>
      </c>
      <c r="D259" s="1" t="s">
        <v>16</v>
      </c>
      <c r="E259" s="1" t="s">
        <v>17</v>
      </c>
      <c r="F259">
        <v>9</v>
      </c>
      <c r="G259">
        <v>8</v>
      </c>
      <c r="H259">
        <v>3.8</v>
      </c>
      <c r="I259">
        <v>57000</v>
      </c>
      <c r="J259" s="1" t="s">
        <v>834</v>
      </c>
    </row>
    <row r="260" spans="1:10" x14ac:dyDescent="0.25">
      <c r="A260" s="1" t="s">
        <v>282</v>
      </c>
      <c r="B260">
        <v>29</v>
      </c>
      <c r="C260" s="1" t="s">
        <v>15</v>
      </c>
      <c r="D260" s="1" t="s">
        <v>19</v>
      </c>
      <c r="E260" s="1" t="s">
        <v>20</v>
      </c>
      <c r="F260">
        <v>4</v>
      </c>
      <c r="G260">
        <v>7</v>
      </c>
      <c r="H260">
        <v>3.9</v>
      </c>
      <c r="I260">
        <v>58000</v>
      </c>
      <c r="J260" s="1" t="s">
        <v>834</v>
      </c>
    </row>
    <row r="261" spans="1:10" x14ac:dyDescent="0.25">
      <c r="A261" s="1" t="s">
        <v>283</v>
      </c>
      <c r="B261">
        <v>30</v>
      </c>
      <c r="C261" s="1" t="s">
        <v>11</v>
      </c>
      <c r="D261" s="1" t="s">
        <v>12</v>
      </c>
      <c r="E261" s="1" t="s">
        <v>13</v>
      </c>
      <c r="F261">
        <v>5</v>
      </c>
      <c r="G261">
        <v>6</v>
      </c>
      <c r="H261">
        <v>4</v>
      </c>
      <c r="I261">
        <v>59000</v>
      </c>
      <c r="J261" s="1" t="s">
        <v>834</v>
      </c>
    </row>
    <row r="262" spans="1:10" x14ac:dyDescent="0.25">
      <c r="A262" s="1" t="s">
        <v>284</v>
      </c>
      <c r="B262">
        <v>42</v>
      </c>
      <c r="C262" s="1" t="s">
        <v>11</v>
      </c>
      <c r="D262" s="1" t="s">
        <v>19</v>
      </c>
      <c r="E262" s="1" t="s">
        <v>17</v>
      </c>
      <c r="F262">
        <v>12</v>
      </c>
      <c r="G262">
        <v>9</v>
      </c>
      <c r="H262">
        <v>4.0999999999999996</v>
      </c>
      <c r="I262">
        <v>60000</v>
      </c>
      <c r="J262" s="1" t="s">
        <v>834</v>
      </c>
    </row>
    <row r="263" spans="1:10" x14ac:dyDescent="0.25">
      <c r="A263" s="1" t="s">
        <v>285</v>
      </c>
      <c r="B263">
        <v>35</v>
      </c>
      <c r="C263" s="1" t="s">
        <v>15</v>
      </c>
      <c r="D263" s="1" t="s">
        <v>28</v>
      </c>
      <c r="E263" s="1" t="s">
        <v>29</v>
      </c>
      <c r="F263">
        <v>8</v>
      </c>
      <c r="G263">
        <v>8</v>
      </c>
      <c r="H263">
        <v>4.2</v>
      </c>
      <c r="I263">
        <v>61000</v>
      </c>
      <c r="J263" s="1" t="s">
        <v>834</v>
      </c>
    </row>
    <row r="264" spans="1:10" x14ac:dyDescent="0.25">
      <c r="A264" s="1" t="s">
        <v>286</v>
      </c>
      <c r="B264">
        <v>37</v>
      </c>
      <c r="C264" s="1" t="s">
        <v>11</v>
      </c>
      <c r="D264" s="1" t="s">
        <v>22</v>
      </c>
      <c r="E264" s="1" t="s">
        <v>23</v>
      </c>
      <c r="F264">
        <v>8</v>
      </c>
      <c r="G264">
        <v>8</v>
      </c>
      <c r="H264">
        <v>4.3</v>
      </c>
      <c r="I264">
        <v>62000</v>
      </c>
      <c r="J264" s="1" t="s">
        <v>834</v>
      </c>
    </row>
    <row r="265" spans="1:10" x14ac:dyDescent="0.25">
      <c r="A265" s="1" t="s">
        <v>287</v>
      </c>
      <c r="B265">
        <v>32</v>
      </c>
      <c r="C265" s="1" t="s">
        <v>15</v>
      </c>
      <c r="D265" s="1" t="s">
        <v>12</v>
      </c>
      <c r="E265" s="1" t="s">
        <v>13</v>
      </c>
      <c r="F265">
        <v>6</v>
      </c>
      <c r="G265">
        <v>7</v>
      </c>
      <c r="H265">
        <v>4.4000000000000004</v>
      </c>
      <c r="I265">
        <v>63000</v>
      </c>
      <c r="J265" s="1" t="s">
        <v>834</v>
      </c>
    </row>
    <row r="266" spans="1:10" x14ac:dyDescent="0.25">
      <c r="A266" s="1" t="s">
        <v>288</v>
      </c>
      <c r="B266">
        <v>33</v>
      </c>
      <c r="C266" s="1" t="s">
        <v>11</v>
      </c>
      <c r="D266" s="1" t="s">
        <v>25</v>
      </c>
      <c r="E266" s="1" t="s">
        <v>26</v>
      </c>
      <c r="F266">
        <v>6</v>
      </c>
      <c r="G266">
        <v>7</v>
      </c>
      <c r="H266">
        <v>4.5</v>
      </c>
      <c r="I266">
        <v>64000</v>
      </c>
      <c r="J266" s="1" t="s">
        <v>834</v>
      </c>
    </row>
    <row r="267" spans="1:10" x14ac:dyDescent="0.25">
      <c r="A267" s="1" t="s">
        <v>289</v>
      </c>
      <c r="B267">
        <v>44</v>
      </c>
      <c r="C267" s="1" t="s">
        <v>11</v>
      </c>
      <c r="D267" s="1" t="s">
        <v>16</v>
      </c>
      <c r="E267" s="1" t="s">
        <v>17</v>
      </c>
      <c r="F267">
        <v>10</v>
      </c>
      <c r="G267">
        <v>8</v>
      </c>
      <c r="H267">
        <v>4.5999999999999996</v>
      </c>
      <c r="I267">
        <v>65000</v>
      </c>
      <c r="J267" s="1" t="s">
        <v>834</v>
      </c>
    </row>
    <row r="268" spans="1:10" x14ac:dyDescent="0.25">
      <c r="A268" s="1" t="s">
        <v>290</v>
      </c>
      <c r="B268">
        <v>28</v>
      </c>
      <c r="C268" s="1" t="s">
        <v>15</v>
      </c>
      <c r="D268" s="1" t="s">
        <v>19</v>
      </c>
      <c r="E268" s="1" t="s">
        <v>20</v>
      </c>
      <c r="F268">
        <v>3</v>
      </c>
      <c r="G268">
        <v>6</v>
      </c>
      <c r="H268">
        <v>4.7</v>
      </c>
      <c r="I268">
        <v>66000</v>
      </c>
      <c r="J268" s="1" t="s">
        <v>834</v>
      </c>
    </row>
    <row r="269" spans="1:10" x14ac:dyDescent="0.25">
      <c r="A269" s="1" t="s">
        <v>291</v>
      </c>
      <c r="B269">
        <v>38</v>
      </c>
      <c r="C269" s="1" t="s">
        <v>11</v>
      </c>
      <c r="D269" s="1" t="s">
        <v>12</v>
      </c>
      <c r="E269" s="1" t="s">
        <v>13</v>
      </c>
      <c r="F269">
        <v>8</v>
      </c>
      <c r="G269">
        <v>8</v>
      </c>
      <c r="H269">
        <v>3</v>
      </c>
      <c r="I269">
        <v>49000</v>
      </c>
      <c r="J269" s="1" t="s">
        <v>834</v>
      </c>
    </row>
    <row r="270" spans="1:10" x14ac:dyDescent="0.25">
      <c r="A270" s="1" t="s">
        <v>292</v>
      </c>
      <c r="B270">
        <v>31</v>
      </c>
      <c r="C270" s="1" t="s">
        <v>11</v>
      </c>
      <c r="D270" s="1" t="s">
        <v>25</v>
      </c>
      <c r="E270" s="1" t="s">
        <v>26</v>
      </c>
      <c r="F270">
        <v>7</v>
      </c>
      <c r="G270">
        <v>7</v>
      </c>
      <c r="H270">
        <v>3.1</v>
      </c>
      <c r="I270">
        <v>50000</v>
      </c>
      <c r="J270" s="1" t="s">
        <v>834</v>
      </c>
    </row>
    <row r="271" spans="1:10" x14ac:dyDescent="0.25">
      <c r="A271" s="1" t="s">
        <v>293</v>
      </c>
      <c r="B271">
        <v>35</v>
      </c>
      <c r="C271" s="1" t="s">
        <v>15</v>
      </c>
      <c r="D271" s="1" t="s">
        <v>16</v>
      </c>
      <c r="E271" s="1" t="s">
        <v>17</v>
      </c>
      <c r="F271">
        <v>6</v>
      </c>
      <c r="G271">
        <v>7</v>
      </c>
      <c r="H271">
        <v>3.2</v>
      </c>
      <c r="I271">
        <v>51000</v>
      </c>
      <c r="J271" s="1" t="s">
        <v>834</v>
      </c>
    </row>
    <row r="272" spans="1:10" x14ac:dyDescent="0.25">
      <c r="A272" s="1" t="s">
        <v>294</v>
      </c>
      <c r="B272">
        <v>29</v>
      </c>
      <c r="C272" s="1" t="s">
        <v>11</v>
      </c>
      <c r="D272" s="1" t="s">
        <v>28</v>
      </c>
      <c r="E272" s="1" t="s">
        <v>29</v>
      </c>
      <c r="F272">
        <v>4</v>
      </c>
      <c r="G272">
        <v>6</v>
      </c>
      <c r="H272">
        <v>3.3</v>
      </c>
      <c r="I272">
        <v>52000</v>
      </c>
      <c r="J272" s="1" t="s">
        <v>834</v>
      </c>
    </row>
    <row r="273" spans="1:10" x14ac:dyDescent="0.25">
      <c r="A273" s="1" t="s">
        <v>295</v>
      </c>
      <c r="B273">
        <v>30</v>
      </c>
      <c r="C273" s="1" t="s">
        <v>15</v>
      </c>
      <c r="D273" s="1" t="s">
        <v>12</v>
      </c>
      <c r="E273" s="1" t="s">
        <v>13</v>
      </c>
      <c r="F273">
        <v>5</v>
      </c>
      <c r="G273">
        <v>6</v>
      </c>
      <c r="H273">
        <v>3.4</v>
      </c>
      <c r="I273">
        <v>53000</v>
      </c>
      <c r="J273" s="1" t="s">
        <v>834</v>
      </c>
    </row>
    <row r="274" spans="1:10" x14ac:dyDescent="0.25">
      <c r="A274" s="1" t="s">
        <v>296</v>
      </c>
      <c r="B274">
        <v>36</v>
      </c>
      <c r="C274" s="1" t="s">
        <v>11</v>
      </c>
      <c r="D274" s="1" t="s">
        <v>19</v>
      </c>
      <c r="E274" s="1" t="s">
        <v>20</v>
      </c>
      <c r="F274">
        <v>6</v>
      </c>
      <c r="G274">
        <v>7</v>
      </c>
      <c r="H274">
        <v>3.5</v>
      </c>
      <c r="I274">
        <v>54000</v>
      </c>
      <c r="J274" s="1" t="s">
        <v>834</v>
      </c>
    </row>
    <row r="275" spans="1:10" x14ac:dyDescent="0.25">
      <c r="A275" s="1" t="s">
        <v>297</v>
      </c>
      <c r="B275">
        <v>31</v>
      </c>
      <c r="C275" s="1" t="s">
        <v>11</v>
      </c>
      <c r="D275" s="1" t="s">
        <v>22</v>
      </c>
      <c r="E275" s="1" t="s">
        <v>23</v>
      </c>
      <c r="F275">
        <v>7</v>
      </c>
      <c r="G275">
        <v>7</v>
      </c>
      <c r="H275">
        <v>3.6</v>
      </c>
      <c r="I275">
        <v>55000</v>
      </c>
      <c r="J275" s="1" t="s">
        <v>834</v>
      </c>
    </row>
    <row r="276" spans="1:10" x14ac:dyDescent="0.25">
      <c r="A276" s="1" t="s">
        <v>298</v>
      </c>
      <c r="B276">
        <v>34</v>
      </c>
      <c r="C276" s="1" t="s">
        <v>11</v>
      </c>
      <c r="D276" s="1" t="s">
        <v>12</v>
      </c>
      <c r="E276" s="1" t="s">
        <v>13</v>
      </c>
      <c r="F276">
        <v>8</v>
      </c>
      <c r="G276">
        <v>8</v>
      </c>
      <c r="H276">
        <v>3.7</v>
      </c>
      <c r="I276">
        <v>56000</v>
      </c>
      <c r="J276" s="1" t="s">
        <v>834</v>
      </c>
    </row>
    <row r="277" spans="1:10" x14ac:dyDescent="0.25">
      <c r="A277" s="1" t="s">
        <v>299</v>
      </c>
      <c r="B277">
        <v>45</v>
      </c>
      <c r="C277" s="1" t="s">
        <v>11</v>
      </c>
      <c r="D277" s="1" t="s">
        <v>25</v>
      </c>
      <c r="E277" s="1" t="s">
        <v>26</v>
      </c>
      <c r="F277">
        <v>15</v>
      </c>
      <c r="G277">
        <v>9</v>
      </c>
      <c r="H277">
        <v>3.8</v>
      </c>
      <c r="I277">
        <v>57000</v>
      </c>
      <c r="J277" s="1" t="s">
        <v>834</v>
      </c>
    </row>
    <row r="278" spans="1:10" x14ac:dyDescent="0.25">
      <c r="A278" s="1" t="s">
        <v>300</v>
      </c>
      <c r="B278">
        <v>37</v>
      </c>
      <c r="C278" s="1" t="s">
        <v>15</v>
      </c>
      <c r="D278" s="1" t="s">
        <v>19</v>
      </c>
      <c r="E278" s="1" t="s">
        <v>17</v>
      </c>
      <c r="F278">
        <v>9</v>
      </c>
      <c r="G278">
        <v>8</v>
      </c>
      <c r="H278">
        <v>3.9</v>
      </c>
      <c r="I278">
        <v>58000</v>
      </c>
      <c r="J278" s="1" t="s">
        <v>834</v>
      </c>
    </row>
    <row r="279" spans="1:10" x14ac:dyDescent="0.25">
      <c r="A279" s="1" t="s">
        <v>301</v>
      </c>
      <c r="B279">
        <v>30</v>
      </c>
      <c r="C279" s="1" t="s">
        <v>11</v>
      </c>
      <c r="D279" s="1" t="s">
        <v>12</v>
      </c>
      <c r="E279" s="1" t="s">
        <v>13</v>
      </c>
      <c r="F279">
        <v>5</v>
      </c>
      <c r="G279">
        <v>6</v>
      </c>
      <c r="H279">
        <v>4</v>
      </c>
      <c r="I279">
        <v>59000</v>
      </c>
      <c r="J279" s="1" t="s">
        <v>834</v>
      </c>
    </row>
    <row r="280" spans="1:10" x14ac:dyDescent="0.25">
      <c r="A280" s="1" t="s">
        <v>302</v>
      </c>
      <c r="B280">
        <v>31</v>
      </c>
      <c r="C280" s="1" t="s">
        <v>15</v>
      </c>
      <c r="D280" s="1" t="s">
        <v>28</v>
      </c>
      <c r="E280" s="1" t="s">
        <v>29</v>
      </c>
      <c r="F280">
        <v>6</v>
      </c>
      <c r="G280">
        <v>7</v>
      </c>
      <c r="H280">
        <v>4.0999999999999996</v>
      </c>
      <c r="I280">
        <v>60000</v>
      </c>
      <c r="J280" s="1" t="s">
        <v>834</v>
      </c>
    </row>
    <row r="281" spans="1:10" x14ac:dyDescent="0.25">
      <c r="A281" s="1" t="s">
        <v>303</v>
      </c>
      <c r="B281">
        <v>38</v>
      </c>
      <c r="C281" s="1" t="s">
        <v>11</v>
      </c>
      <c r="D281" s="1" t="s">
        <v>25</v>
      </c>
      <c r="E281" s="1" t="s">
        <v>26</v>
      </c>
      <c r="F281">
        <v>9</v>
      </c>
      <c r="G281">
        <v>8</v>
      </c>
      <c r="H281">
        <v>4.2</v>
      </c>
      <c r="I281">
        <v>61000</v>
      </c>
      <c r="J281" s="1" t="s">
        <v>834</v>
      </c>
    </row>
    <row r="282" spans="1:10" x14ac:dyDescent="0.25">
      <c r="A282" s="1" t="s">
        <v>304</v>
      </c>
      <c r="B282">
        <v>34</v>
      </c>
      <c r="C282" s="1" t="s">
        <v>11</v>
      </c>
      <c r="D282" s="1" t="s">
        <v>19</v>
      </c>
      <c r="E282" s="1" t="s">
        <v>17</v>
      </c>
      <c r="F282">
        <v>8</v>
      </c>
      <c r="G282">
        <v>8</v>
      </c>
      <c r="H282">
        <v>4.3</v>
      </c>
      <c r="I282">
        <v>62000</v>
      </c>
      <c r="J282" s="1" t="s">
        <v>834</v>
      </c>
    </row>
    <row r="283" spans="1:10" x14ac:dyDescent="0.25">
      <c r="A283" s="1" t="s">
        <v>305</v>
      </c>
      <c r="B283">
        <v>37</v>
      </c>
      <c r="C283" s="1" t="s">
        <v>15</v>
      </c>
      <c r="D283" s="1" t="s">
        <v>12</v>
      </c>
      <c r="E283" s="1" t="s">
        <v>13</v>
      </c>
      <c r="F283">
        <v>9</v>
      </c>
      <c r="G283">
        <v>8</v>
      </c>
      <c r="H283">
        <v>4.4000000000000004</v>
      </c>
      <c r="I283">
        <v>63000</v>
      </c>
      <c r="J283" s="1" t="s">
        <v>834</v>
      </c>
    </row>
    <row r="284" spans="1:10" x14ac:dyDescent="0.25">
      <c r="A284" s="1" t="s">
        <v>306</v>
      </c>
      <c r="B284">
        <v>33</v>
      </c>
      <c r="C284" s="1" t="s">
        <v>11</v>
      </c>
      <c r="D284" s="1" t="s">
        <v>16</v>
      </c>
      <c r="E284" s="1" t="s">
        <v>17</v>
      </c>
      <c r="F284">
        <v>7</v>
      </c>
      <c r="G284">
        <v>7</v>
      </c>
      <c r="H284">
        <v>4.5</v>
      </c>
      <c r="I284">
        <v>64000</v>
      </c>
      <c r="J284" s="1" t="s">
        <v>834</v>
      </c>
    </row>
    <row r="285" spans="1:10" x14ac:dyDescent="0.25">
      <c r="A285" s="1" t="s">
        <v>307</v>
      </c>
      <c r="B285">
        <v>34</v>
      </c>
      <c r="C285" s="1" t="s">
        <v>11</v>
      </c>
      <c r="D285" s="1" t="s">
        <v>22</v>
      </c>
      <c r="E285" s="1" t="s">
        <v>23</v>
      </c>
      <c r="F285">
        <v>6</v>
      </c>
      <c r="G285">
        <v>7</v>
      </c>
      <c r="H285">
        <v>4.5999999999999996</v>
      </c>
      <c r="I285">
        <v>65000</v>
      </c>
      <c r="J285" s="1" t="s">
        <v>834</v>
      </c>
    </row>
    <row r="286" spans="1:10" x14ac:dyDescent="0.25">
      <c r="A286" s="1" t="s">
        <v>308</v>
      </c>
      <c r="B286">
        <v>27</v>
      </c>
      <c r="C286" s="1" t="s">
        <v>15</v>
      </c>
      <c r="D286" s="1" t="s">
        <v>19</v>
      </c>
      <c r="E286" s="1" t="s">
        <v>20</v>
      </c>
      <c r="F286">
        <v>3</v>
      </c>
      <c r="G286">
        <v>6</v>
      </c>
      <c r="H286">
        <v>3</v>
      </c>
      <c r="I286">
        <v>49000</v>
      </c>
      <c r="J286" s="1" t="s">
        <v>834</v>
      </c>
    </row>
    <row r="287" spans="1:10" x14ac:dyDescent="0.25">
      <c r="A287" s="1" t="s">
        <v>309</v>
      </c>
      <c r="B287">
        <v>29</v>
      </c>
      <c r="C287" s="1" t="s">
        <v>11</v>
      </c>
      <c r="D287" s="1" t="s">
        <v>12</v>
      </c>
      <c r="E287" s="1" t="s">
        <v>13</v>
      </c>
      <c r="F287">
        <v>4</v>
      </c>
      <c r="G287">
        <v>6</v>
      </c>
      <c r="H287">
        <v>3.1</v>
      </c>
      <c r="I287">
        <v>50000</v>
      </c>
      <c r="J287" s="1" t="s">
        <v>834</v>
      </c>
    </row>
    <row r="288" spans="1:10" x14ac:dyDescent="0.25">
      <c r="A288" s="1" t="s">
        <v>310</v>
      </c>
      <c r="B288">
        <v>36</v>
      </c>
      <c r="C288" s="1" t="s">
        <v>11</v>
      </c>
      <c r="D288" s="1" t="s">
        <v>25</v>
      </c>
      <c r="E288" s="1" t="s">
        <v>26</v>
      </c>
      <c r="F288">
        <v>7</v>
      </c>
      <c r="G288">
        <v>7</v>
      </c>
      <c r="H288">
        <v>3.2</v>
      </c>
      <c r="I288">
        <v>51000</v>
      </c>
      <c r="J288" s="1" t="s">
        <v>834</v>
      </c>
    </row>
    <row r="289" spans="1:10" x14ac:dyDescent="0.25">
      <c r="A289" s="1" t="s">
        <v>311</v>
      </c>
      <c r="B289">
        <v>31</v>
      </c>
      <c r="C289" s="1" t="s">
        <v>15</v>
      </c>
      <c r="D289" s="1" t="s">
        <v>16</v>
      </c>
      <c r="E289" s="1" t="s">
        <v>17</v>
      </c>
      <c r="F289">
        <v>6</v>
      </c>
      <c r="G289">
        <v>7</v>
      </c>
      <c r="H289">
        <v>3.3</v>
      </c>
      <c r="I289">
        <v>52000</v>
      </c>
      <c r="J289" s="1" t="s">
        <v>834</v>
      </c>
    </row>
    <row r="290" spans="1:10" x14ac:dyDescent="0.25">
      <c r="A290" s="1" t="s">
        <v>312</v>
      </c>
      <c r="B290">
        <v>32</v>
      </c>
      <c r="C290" s="1" t="s">
        <v>11</v>
      </c>
      <c r="D290" s="1" t="s">
        <v>28</v>
      </c>
      <c r="E290" s="1" t="s">
        <v>29</v>
      </c>
      <c r="F290">
        <v>7</v>
      </c>
      <c r="G290">
        <v>7</v>
      </c>
      <c r="H290">
        <v>3.4</v>
      </c>
      <c r="I290">
        <v>53000</v>
      </c>
      <c r="J290" s="1" t="s">
        <v>834</v>
      </c>
    </row>
    <row r="291" spans="1:10" x14ac:dyDescent="0.25">
      <c r="A291" s="1" t="s">
        <v>313</v>
      </c>
      <c r="B291">
        <v>33</v>
      </c>
      <c r="C291" s="1" t="s">
        <v>11</v>
      </c>
      <c r="D291" s="1" t="s">
        <v>19</v>
      </c>
      <c r="E291" s="1" t="s">
        <v>20</v>
      </c>
      <c r="F291">
        <v>8</v>
      </c>
      <c r="G291">
        <v>8</v>
      </c>
      <c r="H291">
        <v>3.5</v>
      </c>
      <c r="I291">
        <v>54000</v>
      </c>
      <c r="J291" s="1" t="s">
        <v>834</v>
      </c>
    </row>
    <row r="292" spans="1:10" x14ac:dyDescent="0.25">
      <c r="A292" s="1" t="s">
        <v>314</v>
      </c>
      <c r="B292">
        <v>38</v>
      </c>
      <c r="C292" s="1" t="s">
        <v>15</v>
      </c>
      <c r="D292" s="1" t="s">
        <v>12</v>
      </c>
      <c r="E292" s="1" t="s">
        <v>13</v>
      </c>
      <c r="F292">
        <v>9</v>
      </c>
      <c r="G292">
        <v>8</v>
      </c>
      <c r="H292">
        <v>3.6</v>
      </c>
      <c r="I292">
        <v>55000</v>
      </c>
      <c r="J292" s="1" t="s">
        <v>834</v>
      </c>
    </row>
    <row r="293" spans="1:10" x14ac:dyDescent="0.25">
      <c r="A293" s="1" t="s">
        <v>315</v>
      </c>
      <c r="B293">
        <v>42</v>
      </c>
      <c r="C293" s="1" t="s">
        <v>11</v>
      </c>
      <c r="D293" s="1" t="s">
        <v>25</v>
      </c>
      <c r="E293" s="1" t="s">
        <v>26</v>
      </c>
      <c r="F293">
        <v>13</v>
      </c>
      <c r="G293">
        <v>9</v>
      </c>
      <c r="H293">
        <v>4</v>
      </c>
      <c r="I293">
        <v>59000</v>
      </c>
      <c r="J293" s="1" t="s">
        <v>834</v>
      </c>
    </row>
    <row r="294" spans="1:10" x14ac:dyDescent="0.25">
      <c r="A294" s="1" t="s">
        <v>316</v>
      </c>
      <c r="B294">
        <v>31</v>
      </c>
      <c r="C294" s="1" t="s">
        <v>11</v>
      </c>
      <c r="D294" s="1" t="s">
        <v>22</v>
      </c>
      <c r="E294" s="1" t="s">
        <v>23</v>
      </c>
      <c r="F294">
        <v>7</v>
      </c>
      <c r="G294">
        <v>7</v>
      </c>
      <c r="H294">
        <v>3.7</v>
      </c>
      <c r="I294">
        <v>57000</v>
      </c>
      <c r="J294" s="1" t="s">
        <v>834</v>
      </c>
    </row>
    <row r="295" spans="1:10" x14ac:dyDescent="0.25">
      <c r="A295" s="1" t="s">
        <v>317</v>
      </c>
      <c r="B295">
        <v>35</v>
      </c>
      <c r="C295" s="1" t="s">
        <v>15</v>
      </c>
      <c r="D295" s="1" t="s">
        <v>12</v>
      </c>
      <c r="E295" s="1" t="s">
        <v>13</v>
      </c>
      <c r="F295">
        <v>8</v>
      </c>
      <c r="G295">
        <v>7</v>
      </c>
      <c r="H295">
        <v>3.8</v>
      </c>
      <c r="I295">
        <v>58000</v>
      </c>
      <c r="J295" s="1" t="s">
        <v>834</v>
      </c>
    </row>
    <row r="296" spans="1:10" x14ac:dyDescent="0.25">
      <c r="A296" s="1" t="s">
        <v>318</v>
      </c>
      <c r="B296">
        <v>33</v>
      </c>
      <c r="C296" s="1" t="s">
        <v>11</v>
      </c>
      <c r="D296" s="1" t="s">
        <v>16</v>
      </c>
      <c r="E296" s="1" t="s">
        <v>17</v>
      </c>
      <c r="F296">
        <v>6</v>
      </c>
      <c r="G296">
        <v>7</v>
      </c>
      <c r="H296">
        <v>3.9</v>
      </c>
      <c r="I296">
        <v>59000</v>
      </c>
      <c r="J296" s="1" t="s">
        <v>834</v>
      </c>
    </row>
    <row r="297" spans="1:10" x14ac:dyDescent="0.25">
      <c r="A297" s="1" t="s">
        <v>319</v>
      </c>
      <c r="B297">
        <v>34</v>
      </c>
      <c r="C297" s="1" t="s">
        <v>11</v>
      </c>
      <c r="D297" s="1" t="s">
        <v>28</v>
      </c>
      <c r="E297" s="1" t="s">
        <v>29</v>
      </c>
      <c r="F297">
        <v>7</v>
      </c>
      <c r="G297">
        <v>7</v>
      </c>
      <c r="H297">
        <v>4</v>
      </c>
      <c r="I297">
        <v>60000</v>
      </c>
      <c r="J297" s="1" t="s">
        <v>834</v>
      </c>
    </row>
    <row r="298" spans="1:10" x14ac:dyDescent="0.25">
      <c r="A298" s="1" t="s">
        <v>320</v>
      </c>
      <c r="B298">
        <v>30</v>
      </c>
      <c r="C298" s="1" t="s">
        <v>15</v>
      </c>
      <c r="D298" s="1" t="s">
        <v>19</v>
      </c>
      <c r="E298" s="1" t="s">
        <v>20</v>
      </c>
      <c r="F298">
        <v>5</v>
      </c>
      <c r="G298">
        <v>6</v>
      </c>
      <c r="H298">
        <v>4.0999999999999996</v>
      </c>
      <c r="I298">
        <v>61000</v>
      </c>
      <c r="J298" s="1" t="s">
        <v>834</v>
      </c>
    </row>
    <row r="299" spans="1:10" x14ac:dyDescent="0.25">
      <c r="A299" s="1" t="s">
        <v>321</v>
      </c>
      <c r="B299">
        <v>45</v>
      </c>
      <c r="C299" s="1" t="s">
        <v>11</v>
      </c>
      <c r="D299" s="1" t="s">
        <v>12</v>
      </c>
      <c r="E299" s="1" t="s">
        <v>13</v>
      </c>
      <c r="F299">
        <v>11</v>
      </c>
      <c r="G299">
        <v>9</v>
      </c>
      <c r="H299">
        <v>4.2</v>
      </c>
      <c r="I299">
        <v>62000</v>
      </c>
      <c r="J299" s="1" t="s">
        <v>834</v>
      </c>
    </row>
    <row r="300" spans="1:10" x14ac:dyDescent="0.25">
      <c r="A300" s="1" t="s">
        <v>322</v>
      </c>
      <c r="B300">
        <v>36</v>
      </c>
      <c r="C300" s="1" t="s">
        <v>11</v>
      </c>
      <c r="D300" s="1" t="s">
        <v>25</v>
      </c>
      <c r="E300" s="1" t="s">
        <v>26</v>
      </c>
      <c r="F300">
        <v>10</v>
      </c>
      <c r="G300">
        <v>8</v>
      </c>
      <c r="H300">
        <v>4.3</v>
      </c>
      <c r="I300">
        <v>63000</v>
      </c>
      <c r="J300" s="1" t="s">
        <v>834</v>
      </c>
    </row>
    <row r="301" spans="1:10" x14ac:dyDescent="0.25">
      <c r="A301" s="1" t="s">
        <v>323</v>
      </c>
      <c r="B301">
        <v>37</v>
      </c>
      <c r="C301" s="1" t="s">
        <v>15</v>
      </c>
      <c r="D301" s="1" t="s">
        <v>16</v>
      </c>
      <c r="E301" s="1" t="s">
        <v>17</v>
      </c>
      <c r="F301">
        <v>9</v>
      </c>
      <c r="G301">
        <v>8</v>
      </c>
      <c r="H301">
        <v>4.4000000000000004</v>
      </c>
      <c r="I301">
        <v>64000</v>
      </c>
      <c r="J301" s="1" t="s">
        <v>834</v>
      </c>
    </row>
    <row r="302" spans="1:10" x14ac:dyDescent="0.25">
      <c r="A302" s="1" t="s">
        <v>324</v>
      </c>
      <c r="B302">
        <v>35</v>
      </c>
      <c r="C302" s="1" t="s">
        <v>15</v>
      </c>
      <c r="D302" s="1" t="s">
        <v>22</v>
      </c>
      <c r="E302" s="1" t="s">
        <v>23</v>
      </c>
      <c r="F302">
        <v>6</v>
      </c>
      <c r="G302">
        <v>7</v>
      </c>
      <c r="H302">
        <v>3</v>
      </c>
      <c r="I302">
        <v>49000</v>
      </c>
      <c r="J302" s="1" t="s">
        <v>835</v>
      </c>
    </row>
    <row r="303" spans="1:10" x14ac:dyDescent="0.25">
      <c r="A303" s="1" t="s">
        <v>325</v>
      </c>
      <c r="B303">
        <v>33</v>
      </c>
      <c r="C303" s="1" t="s">
        <v>11</v>
      </c>
      <c r="D303" s="1" t="s">
        <v>12</v>
      </c>
      <c r="E303" s="1" t="s">
        <v>13</v>
      </c>
      <c r="F303">
        <v>5</v>
      </c>
      <c r="G303">
        <v>6</v>
      </c>
      <c r="H303">
        <v>3.1</v>
      </c>
      <c r="I303">
        <v>50000</v>
      </c>
      <c r="J303" s="1" t="s">
        <v>834</v>
      </c>
    </row>
    <row r="304" spans="1:10" x14ac:dyDescent="0.25">
      <c r="A304" s="1" t="s">
        <v>326</v>
      </c>
      <c r="B304">
        <v>32</v>
      </c>
      <c r="C304" s="1" t="s">
        <v>11</v>
      </c>
      <c r="D304" s="1" t="s">
        <v>25</v>
      </c>
      <c r="E304" s="1" t="s">
        <v>26</v>
      </c>
      <c r="F304">
        <v>7</v>
      </c>
      <c r="G304">
        <v>7</v>
      </c>
      <c r="H304">
        <v>3.2</v>
      </c>
      <c r="I304">
        <v>51000</v>
      </c>
      <c r="J304" s="1" t="s">
        <v>835</v>
      </c>
    </row>
    <row r="305" spans="1:10" x14ac:dyDescent="0.25">
      <c r="A305" s="1" t="s">
        <v>327</v>
      </c>
      <c r="B305">
        <v>31</v>
      </c>
      <c r="C305" s="1" t="s">
        <v>15</v>
      </c>
      <c r="D305" s="1" t="s">
        <v>16</v>
      </c>
      <c r="E305" s="1" t="s">
        <v>17</v>
      </c>
      <c r="F305">
        <v>6</v>
      </c>
      <c r="G305">
        <v>7</v>
      </c>
      <c r="H305">
        <v>3.3</v>
      </c>
      <c r="I305">
        <v>52000</v>
      </c>
      <c r="J305" s="1" t="s">
        <v>835</v>
      </c>
    </row>
    <row r="306" spans="1:10" x14ac:dyDescent="0.25">
      <c r="A306" s="1" t="s">
        <v>328</v>
      </c>
      <c r="B306">
        <v>29</v>
      </c>
      <c r="C306" s="1" t="s">
        <v>11</v>
      </c>
      <c r="D306" s="1" t="s">
        <v>28</v>
      </c>
      <c r="E306" s="1" t="s">
        <v>29</v>
      </c>
      <c r="F306">
        <v>4</v>
      </c>
      <c r="G306">
        <v>6</v>
      </c>
      <c r="H306">
        <v>3.4</v>
      </c>
      <c r="I306">
        <v>53000</v>
      </c>
      <c r="J306" s="1" t="s">
        <v>835</v>
      </c>
    </row>
    <row r="307" spans="1:10" x14ac:dyDescent="0.25">
      <c r="A307" s="1" t="s">
        <v>329</v>
      </c>
      <c r="B307">
        <v>30</v>
      </c>
      <c r="C307" s="1" t="s">
        <v>11</v>
      </c>
      <c r="D307" s="1" t="s">
        <v>19</v>
      </c>
      <c r="E307" s="1" t="s">
        <v>20</v>
      </c>
      <c r="F307">
        <v>5</v>
      </c>
      <c r="G307">
        <v>6</v>
      </c>
      <c r="H307">
        <v>3.5</v>
      </c>
      <c r="I307">
        <v>54000</v>
      </c>
      <c r="J307" s="1" t="s">
        <v>834</v>
      </c>
    </row>
    <row r="308" spans="1:10" x14ac:dyDescent="0.25">
      <c r="A308" s="1" t="s">
        <v>330</v>
      </c>
      <c r="B308">
        <v>32</v>
      </c>
      <c r="C308" s="1" t="s">
        <v>15</v>
      </c>
      <c r="D308" s="1" t="s">
        <v>12</v>
      </c>
      <c r="E308" s="1" t="s">
        <v>13</v>
      </c>
      <c r="F308">
        <v>6</v>
      </c>
      <c r="G308">
        <v>7</v>
      </c>
      <c r="H308">
        <v>3.6</v>
      </c>
      <c r="I308">
        <v>55000</v>
      </c>
      <c r="J308" s="1" t="s">
        <v>835</v>
      </c>
    </row>
    <row r="309" spans="1:10" x14ac:dyDescent="0.25">
      <c r="A309" s="1" t="s">
        <v>331</v>
      </c>
      <c r="B309">
        <v>33</v>
      </c>
      <c r="C309" s="1" t="s">
        <v>11</v>
      </c>
      <c r="D309" s="1" t="s">
        <v>19</v>
      </c>
      <c r="E309" s="1" t="s">
        <v>20</v>
      </c>
      <c r="F309">
        <v>7</v>
      </c>
      <c r="G309">
        <v>7</v>
      </c>
      <c r="H309">
        <v>3.7</v>
      </c>
      <c r="I309">
        <v>56000</v>
      </c>
      <c r="J309" s="1" t="s">
        <v>834</v>
      </c>
    </row>
    <row r="310" spans="1:10" x14ac:dyDescent="0.25">
      <c r="A310" s="1" t="s">
        <v>332</v>
      </c>
      <c r="B310">
        <v>30</v>
      </c>
      <c r="C310" s="1" t="s">
        <v>11</v>
      </c>
      <c r="D310" s="1" t="s">
        <v>25</v>
      </c>
      <c r="E310" s="1" t="s">
        <v>26</v>
      </c>
      <c r="F310">
        <v>6</v>
      </c>
      <c r="G310">
        <v>7</v>
      </c>
      <c r="H310">
        <v>3.8</v>
      </c>
      <c r="I310">
        <v>57000</v>
      </c>
      <c r="J310" s="1" t="s">
        <v>835</v>
      </c>
    </row>
    <row r="311" spans="1:10" x14ac:dyDescent="0.25">
      <c r="A311" s="1" t="s">
        <v>333</v>
      </c>
      <c r="B311">
        <v>35</v>
      </c>
      <c r="C311" s="1" t="s">
        <v>15</v>
      </c>
      <c r="D311" s="1" t="s">
        <v>16</v>
      </c>
      <c r="E311" s="1" t="s">
        <v>17</v>
      </c>
      <c r="F311">
        <v>7</v>
      </c>
      <c r="G311">
        <v>7</v>
      </c>
      <c r="H311">
        <v>3.9</v>
      </c>
      <c r="I311">
        <v>58000</v>
      </c>
      <c r="J311" s="1" t="s">
        <v>834</v>
      </c>
    </row>
    <row r="312" spans="1:10" x14ac:dyDescent="0.25">
      <c r="A312" s="1" t="s">
        <v>334</v>
      </c>
      <c r="B312">
        <v>31</v>
      </c>
      <c r="C312" s="1" t="s">
        <v>11</v>
      </c>
      <c r="D312" s="1" t="s">
        <v>22</v>
      </c>
      <c r="E312" s="1" t="s">
        <v>23</v>
      </c>
      <c r="F312">
        <v>5</v>
      </c>
      <c r="G312">
        <v>6</v>
      </c>
      <c r="H312">
        <v>4</v>
      </c>
      <c r="I312">
        <v>59000</v>
      </c>
      <c r="J312" s="1" t="s">
        <v>834</v>
      </c>
    </row>
    <row r="313" spans="1:10" x14ac:dyDescent="0.25">
      <c r="A313" s="1" t="s">
        <v>335</v>
      </c>
      <c r="B313">
        <v>29</v>
      </c>
      <c r="C313" s="1" t="s">
        <v>15</v>
      </c>
      <c r="D313" s="1" t="s">
        <v>28</v>
      </c>
      <c r="E313" s="1" t="s">
        <v>29</v>
      </c>
      <c r="F313">
        <v>4</v>
      </c>
      <c r="G313">
        <v>6</v>
      </c>
      <c r="H313">
        <v>4.0999999999999996</v>
      </c>
      <c r="I313">
        <v>60000</v>
      </c>
      <c r="J313" s="1" t="s">
        <v>834</v>
      </c>
    </row>
    <row r="314" spans="1:10" x14ac:dyDescent="0.25">
      <c r="A314" s="1" t="s">
        <v>336</v>
      </c>
      <c r="B314">
        <v>27</v>
      </c>
      <c r="C314" s="1" t="s">
        <v>11</v>
      </c>
      <c r="D314" s="1" t="s">
        <v>12</v>
      </c>
      <c r="E314" s="1" t="s">
        <v>13</v>
      </c>
      <c r="F314">
        <v>3</v>
      </c>
      <c r="G314">
        <v>6</v>
      </c>
      <c r="H314">
        <v>4.2</v>
      </c>
      <c r="I314">
        <v>61000</v>
      </c>
      <c r="J314" s="1" t="s">
        <v>834</v>
      </c>
    </row>
    <row r="315" spans="1:10" x14ac:dyDescent="0.25">
      <c r="A315" s="1" t="s">
        <v>337</v>
      </c>
      <c r="B315">
        <v>38</v>
      </c>
      <c r="C315" s="1" t="s">
        <v>11</v>
      </c>
      <c r="D315" s="1" t="s">
        <v>19</v>
      </c>
      <c r="E315" s="1" t="s">
        <v>17</v>
      </c>
      <c r="F315">
        <v>8</v>
      </c>
      <c r="G315">
        <v>8</v>
      </c>
      <c r="H315">
        <v>4.3</v>
      </c>
      <c r="I315">
        <v>62000</v>
      </c>
      <c r="J315" s="1" t="s">
        <v>834</v>
      </c>
    </row>
    <row r="316" spans="1:10" x14ac:dyDescent="0.25">
      <c r="A316" s="1" t="s">
        <v>338</v>
      </c>
      <c r="B316">
        <v>31</v>
      </c>
      <c r="C316" s="1" t="s">
        <v>15</v>
      </c>
      <c r="D316" s="1" t="s">
        <v>25</v>
      </c>
      <c r="E316" s="1" t="s">
        <v>26</v>
      </c>
      <c r="F316">
        <v>6</v>
      </c>
      <c r="G316">
        <v>7</v>
      </c>
      <c r="H316">
        <v>4.4000000000000004</v>
      </c>
      <c r="I316">
        <v>63000</v>
      </c>
      <c r="J316" s="1" t="s">
        <v>834</v>
      </c>
    </row>
    <row r="317" spans="1:10" x14ac:dyDescent="0.25">
      <c r="A317" s="1" t="s">
        <v>339</v>
      </c>
      <c r="B317">
        <v>34</v>
      </c>
      <c r="C317" s="1" t="s">
        <v>11</v>
      </c>
      <c r="D317" s="1" t="s">
        <v>16</v>
      </c>
      <c r="E317" s="1" t="s">
        <v>17</v>
      </c>
      <c r="F317">
        <v>7</v>
      </c>
      <c r="G317">
        <v>7</v>
      </c>
      <c r="H317">
        <v>4.5</v>
      </c>
      <c r="I317">
        <v>64000</v>
      </c>
      <c r="J317" s="1" t="s">
        <v>834</v>
      </c>
    </row>
    <row r="318" spans="1:10" x14ac:dyDescent="0.25">
      <c r="A318" s="1" t="s">
        <v>340</v>
      </c>
      <c r="B318">
        <v>30</v>
      </c>
      <c r="C318" s="1" t="s">
        <v>11</v>
      </c>
      <c r="D318" s="1" t="s">
        <v>28</v>
      </c>
      <c r="E318" s="1" t="s">
        <v>29</v>
      </c>
      <c r="F318">
        <v>6</v>
      </c>
      <c r="G318">
        <v>7</v>
      </c>
      <c r="H318">
        <v>4.5999999999999996</v>
      </c>
      <c r="I318">
        <v>65000</v>
      </c>
      <c r="J318" s="1" t="s">
        <v>834</v>
      </c>
    </row>
    <row r="319" spans="1:10" x14ac:dyDescent="0.25">
      <c r="A319" s="1" t="s">
        <v>341</v>
      </c>
      <c r="B319">
        <v>32</v>
      </c>
      <c r="C319" s="1" t="s">
        <v>15</v>
      </c>
      <c r="D319" s="1" t="s">
        <v>12</v>
      </c>
      <c r="E319" s="1" t="s">
        <v>13</v>
      </c>
      <c r="F319">
        <v>7</v>
      </c>
      <c r="G319">
        <v>7</v>
      </c>
      <c r="H319">
        <v>3</v>
      </c>
      <c r="I319">
        <v>49000</v>
      </c>
      <c r="J319" s="1" t="s">
        <v>835</v>
      </c>
    </row>
    <row r="320" spans="1:10" x14ac:dyDescent="0.25">
      <c r="A320" s="1" t="s">
        <v>342</v>
      </c>
      <c r="B320">
        <v>37</v>
      </c>
      <c r="C320" s="1" t="s">
        <v>11</v>
      </c>
      <c r="D320" s="1" t="s">
        <v>19</v>
      </c>
      <c r="E320" s="1" t="s">
        <v>20</v>
      </c>
      <c r="F320">
        <v>9</v>
      </c>
      <c r="G320">
        <v>8</v>
      </c>
      <c r="H320">
        <v>3.1</v>
      </c>
      <c r="I320">
        <v>50000</v>
      </c>
      <c r="J320" s="1" t="s">
        <v>835</v>
      </c>
    </row>
    <row r="321" spans="1:10" x14ac:dyDescent="0.25">
      <c r="A321" s="1" t="s">
        <v>343</v>
      </c>
      <c r="B321">
        <v>35</v>
      </c>
      <c r="C321" s="1" t="s">
        <v>11</v>
      </c>
      <c r="D321" s="1" t="s">
        <v>25</v>
      </c>
      <c r="E321" s="1" t="s">
        <v>26</v>
      </c>
      <c r="F321">
        <v>8</v>
      </c>
      <c r="G321">
        <v>8</v>
      </c>
      <c r="H321">
        <v>3.2</v>
      </c>
      <c r="I321">
        <v>51000</v>
      </c>
      <c r="J321" s="1" t="s">
        <v>834</v>
      </c>
    </row>
    <row r="322" spans="1:10" x14ac:dyDescent="0.25">
      <c r="A322" s="1" t="s">
        <v>344</v>
      </c>
      <c r="B322">
        <v>29</v>
      </c>
      <c r="C322" s="1" t="s">
        <v>15</v>
      </c>
      <c r="D322" s="1" t="s">
        <v>16</v>
      </c>
      <c r="E322" s="1" t="s">
        <v>17</v>
      </c>
      <c r="F322">
        <v>4</v>
      </c>
      <c r="G322">
        <v>6</v>
      </c>
      <c r="H322">
        <v>3.3</v>
      </c>
      <c r="I322">
        <v>52000</v>
      </c>
      <c r="J322" s="1" t="s">
        <v>834</v>
      </c>
    </row>
    <row r="323" spans="1:10" x14ac:dyDescent="0.25">
      <c r="A323" s="1" t="s">
        <v>345</v>
      </c>
      <c r="B323">
        <v>34</v>
      </c>
      <c r="C323" s="1" t="s">
        <v>11</v>
      </c>
      <c r="D323" s="1" t="s">
        <v>28</v>
      </c>
      <c r="E323" s="1" t="s">
        <v>29</v>
      </c>
      <c r="F323">
        <v>6</v>
      </c>
      <c r="G323">
        <v>7</v>
      </c>
      <c r="H323">
        <v>3.4</v>
      </c>
      <c r="I323">
        <v>53000</v>
      </c>
      <c r="J323" s="1" t="s">
        <v>835</v>
      </c>
    </row>
    <row r="324" spans="1:10" x14ac:dyDescent="0.25">
      <c r="A324" s="1" t="s">
        <v>346</v>
      </c>
      <c r="B324">
        <v>32</v>
      </c>
      <c r="C324" s="1" t="s">
        <v>11</v>
      </c>
      <c r="D324" s="1" t="s">
        <v>19</v>
      </c>
      <c r="E324" s="1" t="s">
        <v>20</v>
      </c>
      <c r="F324">
        <v>5</v>
      </c>
      <c r="G324">
        <v>6</v>
      </c>
      <c r="H324">
        <v>3.5</v>
      </c>
      <c r="I324">
        <v>54000</v>
      </c>
      <c r="J324" s="1" t="s">
        <v>834</v>
      </c>
    </row>
    <row r="325" spans="1:10" x14ac:dyDescent="0.25">
      <c r="A325" s="1" t="s">
        <v>347</v>
      </c>
      <c r="B325">
        <v>35</v>
      </c>
      <c r="C325" s="1" t="s">
        <v>11</v>
      </c>
      <c r="D325" s="1" t="s">
        <v>12</v>
      </c>
      <c r="E325" s="1" t="s">
        <v>13</v>
      </c>
      <c r="F325">
        <v>6</v>
      </c>
      <c r="G325">
        <v>7</v>
      </c>
      <c r="H325">
        <v>3.6</v>
      </c>
      <c r="I325">
        <v>55000</v>
      </c>
      <c r="J325" s="1" t="s">
        <v>835</v>
      </c>
    </row>
    <row r="326" spans="1:10" x14ac:dyDescent="0.25">
      <c r="A326" s="1" t="s">
        <v>348</v>
      </c>
      <c r="B326">
        <v>29</v>
      </c>
      <c r="C326" s="1" t="s">
        <v>15</v>
      </c>
      <c r="D326" s="1" t="s">
        <v>25</v>
      </c>
      <c r="E326" s="1" t="s">
        <v>26</v>
      </c>
      <c r="F326">
        <v>4</v>
      </c>
      <c r="G326">
        <v>6</v>
      </c>
      <c r="H326">
        <v>3.7</v>
      </c>
      <c r="I326">
        <v>56000</v>
      </c>
      <c r="J326" s="1" t="s">
        <v>834</v>
      </c>
    </row>
    <row r="327" spans="1:10" x14ac:dyDescent="0.25">
      <c r="A327" s="1" t="s">
        <v>349</v>
      </c>
      <c r="B327">
        <v>31</v>
      </c>
      <c r="C327" s="1" t="s">
        <v>11</v>
      </c>
      <c r="D327" s="1" t="s">
        <v>22</v>
      </c>
      <c r="E327" s="1" t="s">
        <v>23</v>
      </c>
      <c r="F327">
        <v>5</v>
      </c>
      <c r="G327">
        <v>6</v>
      </c>
      <c r="H327">
        <v>3.8</v>
      </c>
      <c r="I327">
        <v>57000</v>
      </c>
      <c r="J327" s="1" t="s">
        <v>834</v>
      </c>
    </row>
    <row r="328" spans="1:10" x14ac:dyDescent="0.25">
      <c r="A328" s="1" t="s">
        <v>350</v>
      </c>
      <c r="B328">
        <v>30</v>
      </c>
      <c r="C328" s="1" t="s">
        <v>11</v>
      </c>
      <c r="D328" s="1" t="s">
        <v>19</v>
      </c>
      <c r="E328" s="1" t="s">
        <v>17</v>
      </c>
      <c r="F328">
        <v>6</v>
      </c>
      <c r="G328">
        <v>7</v>
      </c>
      <c r="H328">
        <v>3.9</v>
      </c>
      <c r="I328">
        <v>58000</v>
      </c>
      <c r="J328" s="1" t="s">
        <v>834</v>
      </c>
    </row>
    <row r="329" spans="1:10" x14ac:dyDescent="0.25">
      <c r="A329" s="1" t="s">
        <v>351</v>
      </c>
      <c r="B329">
        <v>28</v>
      </c>
      <c r="C329" s="1" t="s">
        <v>15</v>
      </c>
      <c r="D329" s="1" t="s">
        <v>12</v>
      </c>
      <c r="E329" s="1" t="s">
        <v>13</v>
      </c>
      <c r="F329">
        <v>3</v>
      </c>
      <c r="G329">
        <v>6</v>
      </c>
      <c r="H329">
        <v>4</v>
      </c>
      <c r="I329">
        <v>59000</v>
      </c>
      <c r="J329" s="1" t="s">
        <v>834</v>
      </c>
    </row>
    <row r="330" spans="1:10" x14ac:dyDescent="0.25">
      <c r="A330" s="1" t="s">
        <v>352</v>
      </c>
      <c r="B330">
        <v>33</v>
      </c>
      <c r="C330" s="1" t="s">
        <v>11</v>
      </c>
      <c r="D330" s="1" t="s">
        <v>25</v>
      </c>
      <c r="E330" s="1" t="s">
        <v>26</v>
      </c>
      <c r="F330">
        <v>6</v>
      </c>
      <c r="G330">
        <v>7</v>
      </c>
      <c r="H330">
        <v>4.0999999999999996</v>
      </c>
      <c r="I330">
        <v>60000</v>
      </c>
      <c r="J330" s="1" t="s">
        <v>834</v>
      </c>
    </row>
    <row r="331" spans="1:10" x14ac:dyDescent="0.25">
      <c r="A331" s="1" t="s">
        <v>353</v>
      </c>
      <c r="B331">
        <v>35</v>
      </c>
      <c r="C331" s="1" t="s">
        <v>11</v>
      </c>
      <c r="D331" s="1" t="s">
        <v>16</v>
      </c>
      <c r="E331" s="1" t="s">
        <v>17</v>
      </c>
      <c r="F331">
        <v>7</v>
      </c>
      <c r="G331">
        <v>7</v>
      </c>
      <c r="H331">
        <v>4.2</v>
      </c>
      <c r="I331">
        <v>61000</v>
      </c>
      <c r="J331" s="1" t="s">
        <v>834</v>
      </c>
    </row>
    <row r="332" spans="1:10" x14ac:dyDescent="0.25">
      <c r="A332" s="1" t="s">
        <v>354</v>
      </c>
      <c r="B332">
        <v>32</v>
      </c>
      <c r="C332" s="1" t="s">
        <v>15</v>
      </c>
      <c r="D332" s="1" t="s">
        <v>28</v>
      </c>
      <c r="E332" s="1" t="s">
        <v>29</v>
      </c>
      <c r="F332">
        <v>6</v>
      </c>
      <c r="G332">
        <v>7</v>
      </c>
      <c r="H332">
        <v>4.3</v>
      </c>
      <c r="I332">
        <v>62000</v>
      </c>
      <c r="J332" s="1" t="s">
        <v>834</v>
      </c>
    </row>
    <row r="333" spans="1:10" x14ac:dyDescent="0.25">
      <c r="A333" s="1" t="s">
        <v>355</v>
      </c>
      <c r="B333">
        <v>30</v>
      </c>
      <c r="C333" s="1" t="s">
        <v>11</v>
      </c>
      <c r="D333" s="1" t="s">
        <v>12</v>
      </c>
      <c r="E333" s="1" t="s">
        <v>13</v>
      </c>
      <c r="F333">
        <v>5</v>
      </c>
      <c r="G333">
        <v>6</v>
      </c>
      <c r="H333">
        <v>4.4000000000000004</v>
      </c>
      <c r="I333">
        <v>63000</v>
      </c>
      <c r="J333" s="1" t="s">
        <v>834</v>
      </c>
    </row>
    <row r="334" spans="1:10" x14ac:dyDescent="0.25">
      <c r="A334" s="1" t="s">
        <v>356</v>
      </c>
      <c r="B334">
        <v>36</v>
      </c>
      <c r="C334" s="1" t="s">
        <v>11</v>
      </c>
      <c r="D334" s="1" t="s">
        <v>16</v>
      </c>
      <c r="E334" s="1" t="s">
        <v>23</v>
      </c>
      <c r="F334">
        <v>6</v>
      </c>
      <c r="G334">
        <v>8</v>
      </c>
      <c r="H334">
        <v>3.5</v>
      </c>
      <c r="I334">
        <v>58000</v>
      </c>
      <c r="J334" s="1" t="s">
        <v>835</v>
      </c>
    </row>
    <row r="335" spans="1:10" x14ac:dyDescent="0.25">
      <c r="A335" s="1" t="s">
        <v>357</v>
      </c>
      <c r="B335">
        <v>33</v>
      </c>
      <c r="C335" s="1" t="s">
        <v>11</v>
      </c>
      <c r="D335" s="1" t="s">
        <v>12</v>
      </c>
      <c r="E335" s="1" t="s">
        <v>13</v>
      </c>
      <c r="F335">
        <v>8</v>
      </c>
      <c r="G335">
        <v>6</v>
      </c>
      <c r="H335">
        <v>3.2</v>
      </c>
      <c r="I335">
        <v>58000</v>
      </c>
      <c r="J335" s="1" t="s">
        <v>835</v>
      </c>
    </row>
    <row r="336" spans="1:10" x14ac:dyDescent="0.25">
      <c r="A336" s="1" t="s">
        <v>358</v>
      </c>
      <c r="B336">
        <v>29</v>
      </c>
      <c r="C336" s="1" t="s">
        <v>15</v>
      </c>
      <c r="D336" s="1" t="s">
        <v>19</v>
      </c>
      <c r="E336" s="1" t="s">
        <v>26</v>
      </c>
      <c r="F336">
        <v>2</v>
      </c>
      <c r="G336">
        <v>5</v>
      </c>
      <c r="H336">
        <v>3.5</v>
      </c>
      <c r="I336">
        <v>60000</v>
      </c>
      <c r="J336" s="1" t="s">
        <v>835</v>
      </c>
    </row>
    <row r="337" spans="1:10" x14ac:dyDescent="0.25">
      <c r="A337" s="1" t="s">
        <v>359</v>
      </c>
      <c r="B337">
        <v>34</v>
      </c>
      <c r="C337" s="1" t="s">
        <v>11</v>
      </c>
      <c r="D337" s="1" t="s">
        <v>16</v>
      </c>
      <c r="E337" s="1" t="s">
        <v>23</v>
      </c>
      <c r="F337">
        <v>7</v>
      </c>
      <c r="G337">
        <v>7</v>
      </c>
      <c r="H337">
        <v>3.8</v>
      </c>
      <c r="I337">
        <v>62000</v>
      </c>
      <c r="J337" s="1" t="s">
        <v>835</v>
      </c>
    </row>
    <row r="338" spans="1:10" x14ac:dyDescent="0.25">
      <c r="A338" s="1" t="s">
        <v>360</v>
      </c>
      <c r="B338">
        <v>36</v>
      </c>
      <c r="C338" s="1" t="s">
        <v>15</v>
      </c>
      <c r="D338" s="1" t="s">
        <v>22</v>
      </c>
      <c r="E338" s="1" t="s">
        <v>23</v>
      </c>
      <c r="F338">
        <v>5</v>
      </c>
      <c r="G338">
        <v>6</v>
      </c>
      <c r="H338">
        <v>3.9</v>
      </c>
      <c r="I338">
        <v>65000</v>
      </c>
      <c r="J338" s="1" t="s">
        <v>835</v>
      </c>
    </row>
    <row r="339" spans="1:10" x14ac:dyDescent="0.25">
      <c r="A339" s="1" t="s">
        <v>361</v>
      </c>
      <c r="B339">
        <v>30</v>
      </c>
      <c r="C339" s="1" t="s">
        <v>11</v>
      </c>
      <c r="D339" s="1" t="s">
        <v>28</v>
      </c>
      <c r="E339" s="1" t="s">
        <v>20</v>
      </c>
      <c r="F339">
        <v>3</v>
      </c>
      <c r="G339">
        <v>6</v>
      </c>
      <c r="H339">
        <v>3.4</v>
      </c>
      <c r="I339">
        <v>63000</v>
      </c>
      <c r="J339" s="1" t="s">
        <v>835</v>
      </c>
    </row>
    <row r="340" spans="1:10" x14ac:dyDescent="0.25">
      <c r="A340" s="1" t="s">
        <v>362</v>
      </c>
      <c r="B340">
        <v>32</v>
      </c>
      <c r="C340" s="1" t="s">
        <v>15</v>
      </c>
      <c r="D340" s="1" t="s">
        <v>12</v>
      </c>
      <c r="E340" s="1" t="s">
        <v>17</v>
      </c>
      <c r="F340">
        <v>10</v>
      </c>
      <c r="G340">
        <v>8</v>
      </c>
      <c r="H340">
        <v>4.0999999999999996</v>
      </c>
      <c r="I340">
        <v>75000</v>
      </c>
      <c r="J340" s="1" t="s">
        <v>835</v>
      </c>
    </row>
    <row r="341" spans="1:10" x14ac:dyDescent="0.25">
      <c r="A341" s="1" t="s">
        <v>363</v>
      </c>
      <c r="B341">
        <v>35</v>
      </c>
      <c r="C341" s="1" t="s">
        <v>11</v>
      </c>
      <c r="D341" s="1" t="s">
        <v>19</v>
      </c>
      <c r="E341" s="1" t="s">
        <v>26</v>
      </c>
      <c r="F341">
        <v>4</v>
      </c>
      <c r="G341">
        <v>7</v>
      </c>
      <c r="H341">
        <v>3.6</v>
      </c>
      <c r="I341">
        <v>71000</v>
      </c>
      <c r="J341" s="1" t="s">
        <v>835</v>
      </c>
    </row>
    <row r="342" spans="1:10" x14ac:dyDescent="0.25">
      <c r="A342" s="1" t="s">
        <v>364</v>
      </c>
      <c r="B342">
        <v>28</v>
      </c>
      <c r="C342" s="1" t="s">
        <v>15</v>
      </c>
      <c r="D342" s="1" t="s">
        <v>16</v>
      </c>
      <c r="E342" s="1" t="s">
        <v>23</v>
      </c>
      <c r="F342">
        <v>6</v>
      </c>
      <c r="G342">
        <v>5</v>
      </c>
      <c r="H342">
        <v>3.3</v>
      </c>
      <c r="I342">
        <v>48000</v>
      </c>
      <c r="J342" s="1" t="s">
        <v>835</v>
      </c>
    </row>
    <row r="343" spans="1:10" x14ac:dyDescent="0.25">
      <c r="A343" s="1" t="s">
        <v>365</v>
      </c>
      <c r="B343">
        <v>31</v>
      </c>
      <c r="C343" s="1" t="s">
        <v>11</v>
      </c>
      <c r="D343" s="1" t="s">
        <v>22</v>
      </c>
      <c r="E343" s="1" t="s">
        <v>23</v>
      </c>
      <c r="F343">
        <v>5</v>
      </c>
      <c r="G343">
        <v>6</v>
      </c>
      <c r="H343">
        <v>3.7</v>
      </c>
      <c r="I343">
        <v>56000</v>
      </c>
      <c r="J343" s="1" t="s">
        <v>835</v>
      </c>
    </row>
    <row r="344" spans="1:10" x14ac:dyDescent="0.25">
      <c r="A344" s="1" t="s">
        <v>366</v>
      </c>
      <c r="B344">
        <v>27</v>
      </c>
      <c r="C344" s="1" t="s">
        <v>15</v>
      </c>
      <c r="D344" s="1" t="s">
        <v>28</v>
      </c>
      <c r="E344" s="1" t="s">
        <v>20</v>
      </c>
      <c r="F344">
        <v>2</v>
      </c>
      <c r="G344">
        <v>5</v>
      </c>
      <c r="H344">
        <v>3.8</v>
      </c>
      <c r="I344">
        <v>52000</v>
      </c>
      <c r="J344" s="1" t="s">
        <v>835</v>
      </c>
    </row>
    <row r="345" spans="1:10" x14ac:dyDescent="0.25">
      <c r="A345" s="1" t="s">
        <v>367</v>
      </c>
      <c r="B345">
        <v>38</v>
      </c>
      <c r="C345" s="1" t="s">
        <v>11</v>
      </c>
      <c r="D345" s="1" t="s">
        <v>12</v>
      </c>
      <c r="E345" s="1" t="s">
        <v>17</v>
      </c>
      <c r="F345">
        <v>11</v>
      </c>
      <c r="G345">
        <v>7</v>
      </c>
      <c r="H345">
        <v>4</v>
      </c>
      <c r="I345">
        <v>78000</v>
      </c>
      <c r="J345" s="1" t="s">
        <v>835</v>
      </c>
    </row>
    <row r="346" spans="1:10" x14ac:dyDescent="0.25">
      <c r="A346" s="1" t="s">
        <v>368</v>
      </c>
      <c r="B346">
        <v>33</v>
      </c>
      <c r="C346" s="1" t="s">
        <v>15</v>
      </c>
      <c r="D346" s="1" t="s">
        <v>19</v>
      </c>
      <c r="E346" s="1" t="s">
        <v>26</v>
      </c>
      <c r="F346">
        <v>4</v>
      </c>
      <c r="G346">
        <v>7</v>
      </c>
      <c r="H346">
        <v>3.5</v>
      </c>
      <c r="I346">
        <v>73000</v>
      </c>
      <c r="J346" s="1" t="s">
        <v>835</v>
      </c>
    </row>
    <row r="347" spans="1:10" x14ac:dyDescent="0.25">
      <c r="A347" s="1" t="s">
        <v>369</v>
      </c>
      <c r="B347">
        <v>30</v>
      </c>
      <c r="C347" s="1" t="s">
        <v>11</v>
      </c>
      <c r="D347" s="1" t="s">
        <v>22</v>
      </c>
      <c r="E347" s="1" t="s">
        <v>23</v>
      </c>
      <c r="F347">
        <v>6</v>
      </c>
      <c r="G347">
        <v>6</v>
      </c>
      <c r="H347">
        <v>3.9</v>
      </c>
      <c r="I347">
        <v>62000</v>
      </c>
      <c r="J347" s="1" t="s">
        <v>835</v>
      </c>
    </row>
    <row r="348" spans="1:10" x14ac:dyDescent="0.25">
      <c r="A348" s="1" t="s">
        <v>370</v>
      </c>
      <c r="B348">
        <v>29</v>
      </c>
      <c r="C348" s="1" t="s">
        <v>11</v>
      </c>
      <c r="D348" s="1" t="s">
        <v>16</v>
      </c>
      <c r="E348" s="1" t="s">
        <v>23</v>
      </c>
      <c r="F348">
        <v>4</v>
      </c>
      <c r="G348">
        <v>7</v>
      </c>
      <c r="H348">
        <v>4.2</v>
      </c>
      <c r="I348">
        <v>61000</v>
      </c>
      <c r="J348" s="1" t="s">
        <v>834</v>
      </c>
    </row>
    <row r="349" spans="1:10" x14ac:dyDescent="0.25">
      <c r="A349" s="1" t="s">
        <v>371</v>
      </c>
      <c r="B349">
        <v>44</v>
      </c>
      <c r="C349" s="1" t="s">
        <v>15</v>
      </c>
      <c r="D349" s="1" t="s">
        <v>12</v>
      </c>
      <c r="E349" s="1" t="s">
        <v>17</v>
      </c>
      <c r="F349">
        <v>10</v>
      </c>
      <c r="G349">
        <v>8</v>
      </c>
      <c r="H349">
        <v>4.3</v>
      </c>
      <c r="I349">
        <v>75000</v>
      </c>
      <c r="J349" s="1" t="s">
        <v>834</v>
      </c>
    </row>
    <row r="350" spans="1:10" x14ac:dyDescent="0.25">
      <c r="A350" s="1" t="s">
        <v>372</v>
      </c>
      <c r="B350">
        <v>30</v>
      </c>
      <c r="C350" s="1" t="s">
        <v>11</v>
      </c>
      <c r="D350" s="1" t="s">
        <v>22</v>
      </c>
      <c r="E350" s="1" t="s">
        <v>23</v>
      </c>
      <c r="F350">
        <v>6</v>
      </c>
      <c r="G350">
        <v>5</v>
      </c>
      <c r="H350">
        <v>4.7</v>
      </c>
      <c r="I350">
        <v>64000</v>
      </c>
      <c r="J350" s="1" t="s">
        <v>834</v>
      </c>
    </row>
    <row r="351" spans="1:10" x14ac:dyDescent="0.25">
      <c r="A351" s="1" t="s">
        <v>373</v>
      </c>
      <c r="B351">
        <v>37</v>
      </c>
      <c r="C351" s="1" t="s">
        <v>15</v>
      </c>
      <c r="D351" s="1" t="s">
        <v>28</v>
      </c>
      <c r="E351" s="1" t="s">
        <v>20</v>
      </c>
      <c r="F351">
        <v>8</v>
      </c>
      <c r="G351">
        <v>6</v>
      </c>
      <c r="H351">
        <v>4.5</v>
      </c>
      <c r="I351">
        <v>72000</v>
      </c>
      <c r="J351" s="1" t="s">
        <v>834</v>
      </c>
    </row>
    <row r="352" spans="1:10" x14ac:dyDescent="0.25">
      <c r="A352" s="1" t="s">
        <v>374</v>
      </c>
      <c r="B352">
        <v>35</v>
      </c>
      <c r="C352" s="1" t="s">
        <v>11</v>
      </c>
      <c r="D352" s="1" t="s">
        <v>12</v>
      </c>
      <c r="E352" s="1" t="s">
        <v>13</v>
      </c>
      <c r="F352">
        <v>6</v>
      </c>
      <c r="G352">
        <v>6</v>
      </c>
      <c r="H352">
        <v>4.0999999999999996</v>
      </c>
      <c r="I352">
        <v>56000</v>
      </c>
      <c r="J352" s="1" t="s">
        <v>835</v>
      </c>
    </row>
    <row r="353" spans="1:10" x14ac:dyDescent="0.25">
      <c r="A353" s="1" t="s">
        <v>375</v>
      </c>
      <c r="B353">
        <v>31</v>
      </c>
      <c r="C353" s="1" t="s">
        <v>15</v>
      </c>
      <c r="D353" s="1" t="s">
        <v>19</v>
      </c>
      <c r="E353" s="1" t="s">
        <v>26</v>
      </c>
      <c r="F353">
        <v>4</v>
      </c>
      <c r="G353">
        <v>7</v>
      </c>
      <c r="H353">
        <v>3.8</v>
      </c>
      <c r="I353">
        <v>59000</v>
      </c>
      <c r="J353" s="1" t="s">
        <v>835</v>
      </c>
    </row>
    <row r="354" spans="1:10" x14ac:dyDescent="0.25">
      <c r="A354" s="1" t="s">
        <v>376</v>
      </c>
      <c r="B354">
        <v>29</v>
      </c>
      <c r="C354" s="1" t="s">
        <v>11</v>
      </c>
      <c r="D354" s="1" t="s">
        <v>16</v>
      </c>
      <c r="E354" s="1" t="s">
        <v>23</v>
      </c>
      <c r="F354">
        <v>3</v>
      </c>
      <c r="G354">
        <v>6</v>
      </c>
      <c r="H354">
        <v>3.5</v>
      </c>
      <c r="I354">
        <v>54000</v>
      </c>
      <c r="J354" s="1" t="s">
        <v>835</v>
      </c>
    </row>
    <row r="355" spans="1:10" x14ac:dyDescent="0.25">
      <c r="A355" s="1" t="s">
        <v>377</v>
      </c>
      <c r="B355">
        <v>38</v>
      </c>
      <c r="C355" s="1" t="s">
        <v>15</v>
      </c>
      <c r="D355" s="1" t="s">
        <v>22</v>
      </c>
      <c r="E355" s="1" t="s">
        <v>23</v>
      </c>
      <c r="F355">
        <v>8</v>
      </c>
      <c r="G355">
        <v>5</v>
      </c>
      <c r="H355">
        <v>3.7</v>
      </c>
      <c r="I355">
        <v>63000</v>
      </c>
      <c r="J355" s="1" t="s">
        <v>835</v>
      </c>
    </row>
    <row r="356" spans="1:10" x14ac:dyDescent="0.25">
      <c r="A356" s="1" t="s">
        <v>378</v>
      </c>
      <c r="B356">
        <v>40</v>
      </c>
      <c r="C356" s="1" t="s">
        <v>11</v>
      </c>
      <c r="D356" s="1" t="s">
        <v>25</v>
      </c>
      <c r="E356" s="1" t="s">
        <v>26</v>
      </c>
      <c r="F356">
        <v>10</v>
      </c>
      <c r="G356">
        <v>6</v>
      </c>
      <c r="H356">
        <v>4</v>
      </c>
      <c r="I356">
        <v>67000</v>
      </c>
      <c r="J356" s="1" t="s">
        <v>835</v>
      </c>
    </row>
    <row r="357" spans="1:10" x14ac:dyDescent="0.25">
      <c r="A357" s="1" t="s">
        <v>379</v>
      </c>
      <c r="B357">
        <v>27</v>
      </c>
      <c r="C357" s="1" t="s">
        <v>15</v>
      </c>
      <c r="D357" s="1" t="s">
        <v>28</v>
      </c>
      <c r="E357" s="1" t="s">
        <v>20</v>
      </c>
      <c r="F357">
        <v>2</v>
      </c>
      <c r="G357">
        <v>7</v>
      </c>
      <c r="H357">
        <v>4.2</v>
      </c>
      <c r="I357">
        <v>60000</v>
      </c>
      <c r="J357" s="1" t="s">
        <v>835</v>
      </c>
    </row>
    <row r="358" spans="1:10" x14ac:dyDescent="0.25">
      <c r="A358" s="1" t="s">
        <v>380</v>
      </c>
      <c r="B358">
        <v>45</v>
      </c>
      <c r="C358" s="1" t="s">
        <v>11</v>
      </c>
      <c r="D358" s="1" t="s">
        <v>12</v>
      </c>
      <c r="E358" s="1" t="s">
        <v>17</v>
      </c>
      <c r="F358">
        <v>11</v>
      </c>
      <c r="G358">
        <v>8</v>
      </c>
      <c r="H358">
        <v>4.5999999999999996</v>
      </c>
      <c r="I358">
        <v>73000</v>
      </c>
      <c r="J358" s="1" t="s">
        <v>835</v>
      </c>
    </row>
    <row r="359" spans="1:10" x14ac:dyDescent="0.25">
      <c r="A359" s="1" t="s">
        <v>381</v>
      </c>
      <c r="B359">
        <v>32</v>
      </c>
      <c r="C359" s="1" t="s">
        <v>15</v>
      </c>
      <c r="D359" s="1" t="s">
        <v>19</v>
      </c>
      <c r="E359" s="1" t="s">
        <v>26</v>
      </c>
      <c r="F359">
        <v>5</v>
      </c>
      <c r="G359">
        <v>5</v>
      </c>
      <c r="H359">
        <v>3.4</v>
      </c>
      <c r="I359">
        <v>57000</v>
      </c>
      <c r="J359" s="1" t="s">
        <v>835</v>
      </c>
    </row>
    <row r="360" spans="1:10" x14ac:dyDescent="0.25">
      <c r="A360" s="1" t="s">
        <v>382</v>
      </c>
      <c r="B360">
        <v>29</v>
      </c>
      <c r="C360" s="1" t="s">
        <v>11</v>
      </c>
      <c r="D360" s="1" t="s">
        <v>22</v>
      </c>
      <c r="E360" s="1" t="s">
        <v>23</v>
      </c>
      <c r="F360">
        <v>4</v>
      </c>
      <c r="G360">
        <v>6</v>
      </c>
      <c r="H360">
        <v>3.9</v>
      </c>
      <c r="I360">
        <v>61000</v>
      </c>
      <c r="J360" s="1" t="s">
        <v>835</v>
      </c>
    </row>
    <row r="361" spans="1:10" x14ac:dyDescent="0.25">
      <c r="A361" s="1" t="s">
        <v>383</v>
      </c>
      <c r="B361">
        <v>33</v>
      </c>
      <c r="C361" s="1" t="s">
        <v>15</v>
      </c>
      <c r="D361" s="1" t="s">
        <v>28</v>
      </c>
      <c r="E361" s="1" t="s">
        <v>20</v>
      </c>
      <c r="F361">
        <v>6</v>
      </c>
      <c r="G361">
        <v>7</v>
      </c>
      <c r="H361">
        <v>4.0999999999999996</v>
      </c>
      <c r="I361">
        <v>64000</v>
      </c>
      <c r="J361" s="1" t="s">
        <v>835</v>
      </c>
    </row>
    <row r="362" spans="1:10" x14ac:dyDescent="0.25">
      <c r="A362" s="1" t="s">
        <v>384</v>
      </c>
      <c r="B362">
        <v>37</v>
      </c>
      <c r="C362" s="1" t="s">
        <v>11</v>
      </c>
      <c r="D362" s="1" t="s">
        <v>16</v>
      </c>
      <c r="E362" s="1" t="s">
        <v>23</v>
      </c>
      <c r="F362">
        <v>7</v>
      </c>
      <c r="G362">
        <v>6</v>
      </c>
      <c r="H362">
        <v>4.3</v>
      </c>
      <c r="I362">
        <v>69000</v>
      </c>
      <c r="J362" s="1" t="s">
        <v>835</v>
      </c>
    </row>
    <row r="363" spans="1:10" x14ac:dyDescent="0.25">
      <c r="A363" s="1" t="s">
        <v>385</v>
      </c>
      <c r="B363">
        <v>28</v>
      </c>
      <c r="C363" s="1" t="s">
        <v>15</v>
      </c>
      <c r="D363" s="1" t="s">
        <v>12</v>
      </c>
      <c r="E363" s="1" t="s">
        <v>13</v>
      </c>
      <c r="F363">
        <v>2</v>
      </c>
      <c r="G363">
        <v>5</v>
      </c>
      <c r="H363">
        <v>3.2</v>
      </c>
      <c r="I363">
        <v>58000</v>
      </c>
      <c r="J363" s="1" t="s">
        <v>835</v>
      </c>
    </row>
    <row r="364" spans="1:10" x14ac:dyDescent="0.25">
      <c r="A364" s="1" t="s">
        <v>386</v>
      </c>
      <c r="B364">
        <v>34</v>
      </c>
      <c r="C364" s="1" t="s">
        <v>11</v>
      </c>
      <c r="D364" s="1" t="s">
        <v>22</v>
      </c>
      <c r="E364" s="1" t="s">
        <v>23</v>
      </c>
      <c r="F364">
        <v>6</v>
      </c>
      <c r="G364">
        <v>7</v>
      </c>
      <c r="H364">
        <v>3.8</v>
      </c>
      <c r="I364">
        <v>62000</v>
      </c>
      <c r="J364" s="1" t="s">
        <v>835</v>
      </c>
    </row>
    <row r="365" spans="1:10" x14ac:dyDescent="0.25">
      <c r="A365" s="1" t="s">
        <v>387</v>
      </c>
      <c r="B365">
        <v>36</v>
      </c>
      <c r="C365" s="1" t="s">
        <v>15</v>
      </c>
      <c r="D365" s="1" t="s">
        <v>28</v>
      </c>
      <c r="E365" s="1" t="s">
        <v>20</v>
      </c>
      <c r="F365">
        <v>8</v>
      </c>
      <c r="G365">
        <v>6</v>
      </c>
      <c r="H365">
        <v>3.7</v>
      </c>
      <c r="I365">
        <v>60000</v>
      </c>
      <c r="J365" s="1" t="s">
        <v>835</v>
      </c>
    </row>
    <row r="366" spans="1:10" x14ac:dyDescent="0.25">
      <c r="A366" s="1" t="s">
        <v>388</v>
      </c>
      <c r="B366">
        <v>30</v>
      </c>
      <c r="C366" s="1" t="s">
        <v>11</v>
      </c>
      <c r="D366" s="1" t="s">
        <v>12</v>
      </c>
      <c r="E366" s="1" t="s">
        <v>17</v>
      </c>
      <c r="F366">
        <v>5</v>
      </c>
      <c r="G366">
        <v>7</v>
      </c>
      <c r="H366">
        <v>4.5</v>
      </c>
      <c r="I366">
        <v>68000</v>
      </c>
      <c r="J366" s="1" t="s">
        <v>835</v>
      </c>
    </row>
    <row r="367" spans="1:10" x14ac:dyDescent="0.25">
      <c r="A367" s="1" t="s">
        <v>389</v>
      </c>
      <c r="B367">
        <v>31</v>
      </c>
      <c r="C367" s="1" t="s">
        <v>15</v>
      </c>
      <c r="D367" s="1" t="s">
        <v>16</v>
      </c>
      <c r="E367" s="1" t="s">
        <v>23</v>
      </c>
      <c r="F367">
        <v>4</v>
      </c>
      <c r="G367">
        <v>6</v>
      </c>
      <c r="H367">
        <v>3.5</v>
      </c>
      <c r="I367">
        <v>56000</v>
      </c>
      <c r="J367" s="1" t="s">
        <v>835</v>
      </c>
    </row>
    <row r="368" spans="1:10" x14ac:dyDescent="0.25">
      <c r="A368" s="1" t="s">
        <v>390</v>
      </c>
      <c r="B368">
        <v>29</v>
      </c>
      <c r="C368" s="1" t="s">
        <v>11</v>
      </c>
      <c r="D368" s="1" t="s">
        <v>19</v>
      </c>
      <c r="E368" s="1" t="s">
        <v>26</v>
      </c>
      <c r="F368">
        <v>3</v>
      </c>
      <c r="G368">
        <v>5</v>
      </c>
      <c r="H368">
        <v>3.9</v>
      </c>
      <c r="I368">
        <v>61000</v>
      </c>
      <c r="J368" s="1" t="s">
        <v>835</v>
      </c>
    </row>
    <row r="369" spans="1:10" x14ac:dyDescent="0.25">
      <c r="A369" s="1" t="s">
        <v>391</v>
      </c>
      <c r="B369">
        <v>40</v>
      </c>
      <c r="C369" s="1" t="s">
        <v>15</v>
      </c>
      <c r="D369" s="1" t="s">
        <v>22</v>
      </c>
      <c r="E369" s="1" t="s">
        <v>23</v>
      </c>
      <c r="F369">
        <v>8</v>
      </c>
      <c r="G369">
        <v>7</v>
      </c>
      <c r="H369">
        <v>3.8</v>
      </c>
      <c r="I369">
        <v>62000</v>
      </c>
      <c r="J369" s="1" t="s">
        <v>835</v>
      </c>
    </row>
    <row r="370" spans="1:10" x14ac:dyDescent="0.25">
      <c r="A370" s="1" t="s">
        <v>392</v>
      </c>
      <c r="B370">
        <v>38</v>
      </c>
      <c r="C370" s="1" t="s">
        <v>11</v>
      </c>
      <c r="D370" s="1" t="s">
        <v>28</v>
      </c>
      <c r="E370" s="1" t="s">
        <v>20</v>
      </c>
      <c r="F370">
        <v>7</v>
      </c>
      <c r="G370">
        <v>6</v>
      </c>
      <c r="H370">
        <v>3.7</v>
      </c>
      <c r="I370">
        <v>60000</v>
      </c>
      <c r="J370" s="1" t="s">
        <v>835</v>
      </c>
    </row>
    <row r="371" spans="1:10" x14ac:dyDescent="0.25">
      <c r="A371" s="1" t="s">
        <v>393</v>
      </c>
      <c r="B371">
        <v>35</v>
      </c>
      <c r="C371" s="1" t="s">
        <v>15</v>
      </c>
      <c r="D371" s="1" t="s">
        <v>12</v>
      </c>
      <c r="E371" s="1" t="s">
        <v>17</v>
      </c>
      <c r="F371">
        <v>6</v>
      </c>
      <c r="G371">
        <v>7</v>
      </c>
      <c r="H371">
        <v>4.0999999999999996</v>
      </c>
      <c r="I371">
        <v>59000</v>
      </c>
      <c r="J371" s="1" t="s">
        <v>835</v>
      </c>
    </row>
    <row r="372" spans="1:10" x14ac:dyDescent="0.25">
      <c r="A372" s="1" t="s">
        <v>394</v>
      </c>
      <c r="B372">
        <v>37</v>
      </c>
      <c r="C372" s="1" t="s">
        <v>11</v>
      </c>
      <c r="D372" s="1" t="s">
        <v>16</v>
      </c>
      <c r="E372" s="1" t="s">
        <v>23</v>
      </c>
      <c r="F372">
        <v>9</v>
      </c>
      <c r="G372">
        <v>6</v>
      </c>
      <c r="H372">
        <v>3.6</v>
      </c>
      <c r="I372">
        <v>57000</v>
      </c>
      <c r="J372" s="1" t="s">
        <v>835</v>
      </c>
    </row>
    <row r="373" spans="1:10" x14ac:dyDescent="0.25">
      <c r="A373" s="1" t="s">
        <v>395</v>
      </c>
      <c r="B373">
        <v>29</v>
      </c>
      <c r="C373" s="1" t="s">
        <v>15</v>
      </c>
      <c r="D373" s="1" t="s">
        <v>19</v>
      </c>
      <c r="E373" s="1" t="s">
        <v>26</v>
      </c>
      <c r="F373">
        <v>3</v>
      </c>
      <c r="G373">
        <v>7</v>
      </c>
      <c r="H373">
        <v>4.2</v>
      </c>
      <c r="I373">
        <v>61000</v>
      </c>
      <c r="J373" s="1" t="s">
        <v>835</v>
      </c>
    </row>
    <row r="374" spans="1:10" x14ac:dyDescent="0.25">
      <c r="A374" s="1" t="s">
        <v>396</v>
      </c>
      <c r="B374">
        <v>31</v>
      </c>
      <c r="C374" s="1" t="s">
        <v>11</v>
      </c>
      <c r="D374" s="1" t="s">
        <v>22</v>
      </c>
      <c r="E374" s="1" t="s">
        <v>23</v>
      </c>
      <c r="F374">
        <v>5</v>
      </c>
      <c r="G374">
        <v>6</v>
      </c>
      <c r="H374">
        <v>3.8</v>
      </c>
      <c r="I374">
        <v>62000</v>
      </c>
      <c r="J374" s="1" t="s">
        <v>835</v>
      </c>
    </row>
    <row r="375" spans="1:10" x14ac:dyDescent="0.25">
      <c r="A375" s="1" t="s">
        <v>397</v>
      </c>
      <c r="B375">
        <v>40</v>
      </c>
      <c r="C375" s="1" t="s">
        <v>15</v>
      </c>
      <c r="D375" s="1" t="s">
        <v>28</v>
      </c>
      <c r="E375" s="1" t="s">
        <v>20</v>
      </c>
      <c r="F375">
        <v>7</v>
      </c>
      <c r="G375">
        <v>7</v>
      </c>
      <c r="H375">
        <v>4</v>
      </c>
      <c r="I375">
        <v>64000</v>
      </c>
      <c r="J375" s="1" t="s">
        <v>835</v>
      </c>
    </row>
    <row r="376" spans="1:10" x14ac:dyDescent="0.25">
      <c r="A376" s="1" t="s">
        <v>398</v>
      </c>
      <c r="B376">
        <v>45</v>
      </c>
      <c r="C376" s="1" t="s">
        <v>11</v>
      </c>
      <c r="D376" s="1" t="s">
        <v>12</v>
      </c>
      <c r="E376" s="1" t="s">
        <v>17</v>
      </c>
      <c r="F376">
        <v>11</v>
      </c>
      <c r="G376">
        <v>8</v>
      </c>
      <c r="H376">
        <v>4.3</v>
      </c>
      <c r="I376">
        <v>66000</v>
      </c>
      <c r="J376" s="1" t="s">
        <v>835</v>
      </c>
    </row>
    <row r="377" spans="1:10" x14ac:dyDescent="0.25">
      <c r="A377" s="1" t="s">
        <v>399</v>
      </c>
      <c r="B377">
        <v>32</v>
      </c>
      <c r="C377" s="1" t="s">
        <v>15</v>
      </c>
      <c r="D377" s="1" t="s">
        <v>19</v>
      </c>
      <c r="E377" s="1" t="s">
        <v>26</v>
      </c>
      <c r="F377">
        <v>5</v>
      </c>
      <c r="G377">
        <v>7</v>
      </c>
      <c r="H377">
        <v>3.4</v>
      </c>
      <c r="I377">
        <v>57000</v>
      </c>
      <c r="J377" s="1" t="s">
        <v>835</v>
      </c>
    </row>
    <row r="378" spans="1:10" x14ac:dyDescent="0.25">
      <c r="A378" s="1" t="s">
        <v>400</v>
      </c>
      <c r="B378">
        <v>29</v>
      </c>
      <c r="C378" s="1" t="s">
        <v>11</v>
      </c>
      <c r="D378" s="1" t="s">
        <v>22</v>
      </c>
      <c r="E378" s="1" t="s">
        <v>23</v>
      </c>
      <c r="F378">
        <v>4</v>
      </c>
      <c r="G378">
        <v>6</v>
      </c>
      <c r="H378">
        <v>3.9</v>
      </c>
      <c r="I378">
        <v>61000</v>
      </c>
      <c r="J378" s="1" t="s">
        <v>835</v>
      </c>
    </row>
    <row r="379" spans="1:10" x14ac:dyDescent="0.25">
      <c r="A379" s="1" t="s">
        <v>401</v>
      </c>
      <c r="B379">
        <v>36</v>
      </c>
      <c r="C379" s="1" t="s">
        <v>15</v>
      </c>
      <c r="D379" s="1" t="s">
        <v>28</v>
      </c>
      <c r="E379" s="1" t="s">
        <v>20</v>
      </c>
      <c r="F379">
        <v>8</v>
      </c>
      <c r="G379">
        <v>7</v>
      </c>
      <c r="H379">
        <v>3.7</v>
      </c>
      <c r="I379">
        <v>60000</v>
      </c>
      <c r="J379" s="1" t="s">
        <v>835</v>
      </c>
    </row>
    <row r="380" spans="1:10" x14ac:dyDescent="0.25">
      <c r="A380" s="1" t="s">
        <v>402</v>
      </c>
      <c r="B380">
        <v>40</v>
      </c>
      <c r="C380" s="1" t="s">
        <v>11</v>
      </c>
      <c r="D380" s="1" t="s">
        <v>12</v>
      </c>
      <c r="E380" s="1" t="s">
        <v>17</v>
      </c>
      <c r="F380">
        <v>11</v>
      </c>
      <c r="G380">
        <v>8</v>
      </c>
      <c r="H380">
        <v>4.5999999999999996</v>
      </c>
      <c r="I380">
        <v>67000</v>
      </c>
      <c r="J380" s="1" t="s">
        <v>835</v>
      </c>
    </row>
    <row r="381" spans="1:10" x14ac:dyDescent="0.25">
      <c r="A381" s="1" t="s">
        <v>403</v>
      </c>
      <c r="B381">
        <v>27</v>
      </c>
      <c r="C381" s="1" t="s">
        <v>15</v>
      </c>
      <c r="D381" s="1" t="s">
        <v>16</v>
      </c>
      <c r="E381" s="1" t="s">
        <v>23</v>
      </c>
      <c r="F381">
        <v>2</v>
      </c>
      <c r="G381">
        <v>5</v>
      </c>
      <c r="H381">
        <v>3.3</v>
      </c>
      <c r="I381">
        <v>58000</v>
      </c>
      <c r="J381" s="1" t="s">
        <v>835</v>
      </c>
    </row>
    <row r="382" spans="1:10" x14ac:dyDescent="0.25">
      <c r="A382" s="1" t="s">
        <v>404</v>
      </c>
      <c r="B382">
        <v>34</v>
      </c>
      <c r="C382" s="1" t="s">
        <v>11</v>
      </c>
      <c r="D382" s="1" t="s">
        <v>19</v>
      </c>
      <c r="E382" s="1" t="s">
        <v>26</v>
      </c>
      <c r="F382">
        <v>6</v>
      </c>
      <c r="G382">
        <v>7</v>
      </c>
      <c r="H382">
        <v>3.8</v>
      </c>
      <c r="I382">
        <v>61000</v>
      </c>
      <c r="J382" s="1" t="s">
        <v>835</v>
      </c>
    </row>
    <row r="383" spans="1:10" x14ac:dyDescent="0.25">
      <c r="A383" s="1" t="s">
        <v>405</v>
      </c>
      <c r="B383">
        <v>31</v>
      </c>
      <c r="C383" s="1" t="s">
        <v>15</v>
      </c>
      <c r="D383" s="1" t="s">
        <v>22</v>
      </c>
      <c r="E383" s="1" t="s">
        <v>23</v>
      </c>
      <c r="F383">
        <v>5</v>
      </c>
      <c r="G383">
        <v>6</v>
      </c>
      <c r="H383">
        <v>3.5</v>
      </c>
      <c r="I383">
        <v>59000</v>
      </c>
      <c r="J383" s="1" t="s">
        <v>835</v>
      </c>
    </row>
    <row r="384" spans="1:10" x14ac:dyDescent="0.25">
      <c r="A384" s="1" t="s">
        <v>406</v>
      </c>
      <c r="B384">
        <v>38</v>
      </c>
      <c r="C384" s="1" t="s">
        <v>11</v>
      </c>
      <c r="D384" s="1" t="s">
        <v>28</v>
      </c>
      <c r="E384" s="1" t="s">
        <v>20</v>
      </c>
      <c r="F384">
        <v>7</v>
      </c>
      <c r="G384">
        <v>6</v>
      </c>
      <c r="H384">
        <v>3.7</v>
      </c>
      <c r="I384">
        <v>60000</v>
      </c>
      <c r="J384" s="1" t="s">
        <v>835</v>
      </c>
    </row>
    <row r="385" spans="1:10" x14ac:dyDescent="0.25">
      <c r="A385" s="1" t="s">
        <v>407</v>
      </c>
      <c r="B385">
        <v>33</v>
      </c>
      <c r="C385" s="1" t="s">
        <v>15</v>
      </c>
      <c r="D385" s="1" t="s">
        <v>12</v>
      </c>
      <c r="E385" s="1" t="s">
        <v>17</v>
      </c>
      <c r="F385">
        <v>6</v>
      </c>
      <c r="G385">
        <v>7</v>
      </c>
      <c r="H385">
        <v>4.0999999999999996</v>
      </c>
      <c r="I385">
        <v>61000</v>
      </c>
      <c r="J385" s="1" t="s">
        <v>835</v>
      </c>
    </row>
    <row r="386" spans="1:10" x14ac:dyDescent="0.25">
      <c r="A386" s="1" t="s">
        <v>408</v>
      </c>
      <c r="B386">
        <v>29</v>
      </c>
      <c r="C386" s="1" t="s">
        <v>11</v>
      </c>
      <c r="D386" s="1" t="s">
        <v>16</v>
      </c>
      <c r="E386" s="1" t="s">
        <v>23</v>
      </c>
      <c r="F386">
        <v>3</v>
      </c>
      <c r="G386">
        <v>5</v>
      </c>
      <c r="H386">
        <v>3.9</v>
      </c>
      <c r="I386">
        <v>63000</v>
      </c>
      <c r="J386" s="1" t="s">
        <v>835</v>
      </c>
    </row>
    <row r="387" spans="1:10" x14ac:dyDescent="0.25">
      <c r="A387" s="1" t="s">
        <v>409</v>
      </c>
      <c r="B387">
        <v>35</v>
      </c>
      <c r="C387" s="1" t="s">
        <v>15</v>
      </c>
      <c r="D387" s="1" t="s">
        <v>19</v>
      </c>
      <c r="E387" s="1" t="s">
        <v>26</v>
      </c>
      <c r="F387">
        <v>6</v>
      </c>
      <c r="G387">
        <v>7</v>
      </c>
      <c r="H387">
        <v>3.4</v>
      </c>
      <c r="I387">
        <v>57000</v>
      </c>
      <c r="J387" s="1" t="s">
        <v>835</v>
      </c>
    </row>
    <row r="388" spans="1:10" x14ac:dyDescent="0.25">
      <c r="A388" s="1" t="s">
        <v>410</v>
      </c>
      <c r="B388">
        <v>37</v>
      </c>
      <c r="C388" s="1" t="s">
        <v>11</v>
      </c>
      <c r="D388" s="1" t="s">
        <v>22</v>
      </c>
      <c r="E388" s="1" t="s">
        <v>23</v>
      </c>
      <c r="F388">
        <v>9</v>
      </c>
      <c r="G388">
        <v>6</v>
      </c>
      <c r="H388">
        <v>3.6</v>
      </c>
      <c r="I388">
        <v>56000</v>
      </c>
      <c r="J388" s="1" t="s">
        <v>835</v>
      </c>
    </row>
    <row r="389" spans="1:10" x14ac:dyDescent="0.25">
      <c r="A389" s="1" t="s">
        <v>411</v>
      </c>
      <c r="B389">
        <v>29</v>
      </c>
      <c r="C389" s="1" t="s">
        <v>15</v>
      </c>
      <c r="D389" s="1" t="s">
        <v>28</v>
      </c>
      <c r="E389" s="1" t="s">
        <v>20</v>
      </c>
      <c r="F389">
        <v>3</v>
      </c>
      <c r="G389">
        <v>7</v>
      </c>
      <c r="H389">
        <v>4.2</v>
      </c>
      <c r="I389">
        <v>61000</v>
      </c>
      <c r="J389" s="1" t="s">
        <v>835</v>
      </c>
    </row>
    <row r="390" spans="1:10" x14ac:dyDescent="0.25">
      <c r="A390" s="1" t="s">
        <v>412</v>
      </c>
      <c r="B390">
        <v>31</v>
      </c>
      <c r="C390" s="1" t="s">
        <v>11</v>
      </c>
      <c r="D390" s="1" t="s">
        <v>12</v>
      </c>
      <c r="E390" s="1" t="s">
        <v>17</v>
      </c>
      <c r="F390">
        <v>5</v>
      </c>
      <c r="G390">
        <v>6</v>
      </c>
      <c r="H390">
        <v>3.8</v>
      </c>
      <c r="I390">
        <v>62000</v>
      </c>
      <c r="J390" s="1" t="s">
        <v>835</v>
      </c>
    </row>
    <row r="391" spans="1:10" x14ac:dyDescent="0.25">
      <c r="A391" s="1" t="s">
        <v>413</v>
      </c>
      <c r="B391">
        <v>32</v>
      </c>
      <c r="C391" s="1" t="s">
        <v>15</v>
      </c>
      <c r="D391" s="1" t="s">
        <v>16</v>
      </c>
      <c r="E391" s="1" t="s">
        <v>23</v>
      </c>
      <c r="F391">
        <v>4</v>
      </c>
      <c r="G391">
        <v>5</v>
      </c>
      <c r="H391">
        <v>3.5</v>
      </c>
      <c r="I391">
        <v>56000</v>
      </c>
      <c r="J391" s="1" t="s">
        <v>835</v>
      </c>
    </row>
    <row r="392" spans="1:10" x14ac:dyDescent="0.25">
      <c r="A392" s="1" t="s">
        <v>414</v>
      </c>
      <c r="B392">
        <v>34</v>
      </c>
      <c r="C392" s="1" t="s">
        <v>11</v>
      </c>
      <c r="D392" s="1" t="s">
        <v>19</v>
      </c>
      <c r="E392" s="1" t="s">
        <v>26</v>
      </c>
      <c r="F392">
        <v>6</v>
      </c>
      <c r="G392">
        <v>7</v>
      </c>
      <c r="H392">
        <v>4.2</v>
      </c>
      <c r="I392">
        <v>61000</v>
      </c>
      <c r="J392" s="1" t="s">
        <v>835</v>
      </c>
    </row>
    <row r="393" spans="1:10" x14ac:dyDescent="0.25">
      <c r="A393" s="1" t="s">
        <v>415</v>
      </c>
      <c r="B393">
        <v>29</v>
      </c>
      <c r="C393" s="1" t="s">
        <v>15</v>
      </c>
      <c r="D393" s="1" t="s">
        <v>22</v>
      </c>
      <c r="E393" s="1" t="s">
        <v>23</v>
      </c>
      <c r="F393">
        <v>3</v>
      </c>
      <c r="G393">
        <v>6</v>
      </c>
      <c r="H393">
        <v>3.9</v>
      </c>
      <c r="I393">
        <v>61000</v>
      </c>
      <c r="J393" s="1" t="s">
        <v>835</v>
      </c>
    </row>
    <row r="394" spans="1:10" x14ac:dyDescent="0.25">
      <c r="A394" s="1" t="s">
        <v>416</v>
      </c>
      <c r="B394">
        <v>36</v>
      </c>
      <c r="C394" s="1" t="s">
        <v>11</v>
      </c>
      <c r="D394" s="1" t="s">
        <v>28</v>
      </c>
      <c r="E394" s="1" t="s">
        <v>20</v>
      </c>
      <c r="F394">
        <v>8</v>
      </c>
      <c r="G394">
        <v>7</v>
      </c>
      <c r="H394">
        <v>3.7</v>
      </c>
      <c r="I394">
        <v>60000</v>
      </c>
      <c r="J394" s="1" t="s">
        <v>835</v>
      </c>
    </row>
    <row r="395" spans="1:10" x14ac:dyDescent="0.25">
      <c r="A395" s="1" t="s">
        <v>417</v>
      </c>
      <c r="B395">
        <v>40</v>
      </c>
      <c r="C395" s="1" t="s">
        <v>15</v>
      </c>
      <c r="D395" s="1" t="s">
        <v>12</v>
      </c>
      <c r="E395" s="1" t="s">
        <v>17</v>
      </c>
      <c r="F395">
        <v>11</v>
      </c>
      <c r="G395">
        <v>8</v>
      </c>
      <c r="H395">
        <v>4.5999999999999996</v>
      </c>
      <c r="I395">
        <v>67000</v>
      </c>
      <c r="J395" s="1" t="s">
        <v>835</v>
      </c>
    </row>
    <row r="396" spans="1:10" x14ac:dyDescent="0.25">
      <c r="A396" s="1" t="s">
        <v>418</v>
      </c>
      <c r="B396">
        <v>27</v>
      </c>
      <c r="C396" s="1" t="s">
        <v>11</v>
      </c>
      <c r="D396" s="1" t="s">
        <v>16</v>
      </c>
      <c r="E396" s="1" t="s">
        <v>23</v>
      </c>
      <c r="F396">
        <v>2</v>
      </c>
      <c r="G396">
        <v>5</v>
      </c>
      <c r="H396">
        <v>3.3</v>
      </c>
      <c r="I396">
        <v>58000</v>
      </c>
      <c r="J396" s="1" t="s">
        <v>835</v>
      </c>
    </row>
    <row r="397" spans="1:10" x14ac:dyDescent="0.25">
      <c r="A397" s="1" t="s">
        <v>419</v>
      </c>
      <c r="B397">
        <v>34</v>
      </c>
      <c r="C397" s="1" t="s">
        <v>15</v>
      </c>
      <c r="D397" s="1" t="s">
        <v>19</v>
      </c>
      <c r="E397" s="1" t="s">
        <v>26</v>
      </c>
      <c r="F397">
        <v>6</v>
      </c>
      <c r="G397">
        <v>7</v>
      </c>
      <c r="H397">
        <v>3.8</v>
      </c>
      <c r="I397">
        <v>61000</v>
      </c>
      <c r="J397" s="1" t="s">
        <v>835</v>
      </c>
    </row>
    <row r="398" spans="1:10" x14ac:dyDescent="0.25">
      <c r="A398" s="1" t="s">
        <v>420</v>
      </c>
      <c r="B398">
        <v>31</v>
      </c>
      <c r="C398" s="1" t="s">
        <v>11</v>
      </c>
      <c r="D398" s="1" t="s">
        <v>22</v>
      </c>
      <c r="E398" s="1" t="s">
        <v>23</v>
      </c>
      <c r="F398">
        <v>5</v>
      </c>
      <c r="G398">
        <v>6</v>
      </c>
      <c r="H398">
        <v>3.5</v>
      </c>
      <c r="I398">
        <v>59000</v>
      </c>
      <c r="J398" s="1" t="s">
        <v>835</v>
      </c>
    </row>
    <row r="399" spans="1:10" x14ac:dyDescent="0.25">
      <c r="A399" s="1" t="s">
        <v>421</v>
      </c>
      <c r="B399">
        <v>38</v>
      </c>
      <c r="C399" s="1" t="s">
        <v>15</v>
      </c>
      <c r="D399" s="1" t="s">
        <v>28</v>
      </c>
      <c r="E399" s="1" t="s">
        <v>20</v>
      </c>
      <c r="F399">
        <v>7</v>
      </c>
      <c r="G399">
        <v>6</v>
      </c>
      <c r="H399">
        <v>3.7</v>
      </c>
      <c r="I399">
        <v>60000</v>
      </c>
      <c r="J399" s="1" t="s">
        <v>835</v>
      </c>
    </row>
    <row r="400" spans="1:10" x14ac:dyDescent="0.25">
      <c r="A400" s="1" t="s">
        <v>422</v>
      </c>
      <c r="B400">
        <v>33</v>
      </c>
      <c r="C400" s="1" t="s">
        <v>11</v>
      </c>
      <c r="D400" s="1" t="s">
        <v>12</v>
      </c>
      <c r="E400" s="1" t="s">
        <v>17</v>
      </c>
      <c r="F400">
        <v>6</v>
      </c>
      <c r="G400">
        <v>7</v>
      </c>
      <c r="H400">
        <v>4.0999999999999996</v>
      </c>
      <c r="I400">
        <v>61000</v>
      </c>
      <c r="J400" s="1" t="s">
        <v>835</v>
      </c>
    </row>
    <row r="401" spans="1:10" x14ac:dyDescent="0.25">
      <c r="A401" s="1" t="s">
        <v>423</v>
      </c>
      <c r="B401">
        <v>29</v>
      </c>
      <c r="C401" s="1" t="s">
        <v>15</v>
      </c>
      <c r="D401" s="1" t="s">
        <v>16</v>
      </c>
      <c r="E401" s="1" t="s">
        <v>23</v>
      </c>
      <c r="F401">
        <v>3</v>
      </c>
      <c r="G401">
        <v>5</v>
      </c>
      <c r="H401">
        <v>3.9</v>
      </c>
      <c r="I401">
        <v>63000</v>
      </c>
      <c r="J401" s="1" t="s">
        <v>835</v>
      </c>
    </row>
    <row r="402" spans="1:10" x14ac:dyDescent="0.25">
      <c r="A402" s="1" t="s">
        <v>424</v>
      </c>
      <c r="B402">
        <v>31</v>
      </c>
      <c r="C402" s="1" t="s">
        <v>11</v>
      </c>
      <c r="D402" s="1" t="s">
        <v>12</v>
      </c>
      <c r="E402" s="1" t="s">
        <v>13</v>
      </c>
      <c r="F402">
        <v>4</v>
      </c>
      <c r="G402">
        <v>6</v>
      </c>
      <c r="H402">
        <v>3.6</v>
      </c>
      <c r="I402">
        <v>60000</v>
      </c>
      <c r="J402" s="1" t="s">
        <v>835</v>
      </c>
    </row>
    <row r="403" spans="1:10" x14ac:dyDescent="0.25">
      <c r="A403" s="1" t="s">
        <v>425</v>
      </c>
      <c r="B403">
        <v>35</v>
      </c>
      <c r="C403" s="1" t="s">
        <v>15</v>
      </c>
      <c r="D403" s="1" t="s">
        <v>19</v>
      </c>
      <c r="E403" s="1" t="s">
        <v>26</v>
      </c>
      <c r="F403">
        <v>7</v>
      </c>
      <c r="G403">
        <v>7</v>
      </c>
      <c r="H403">
        <v>3.5</v>
      </c>
      <c r="I403">
        <v>58000</v>
      </c>
      <c r="J403" s="1" t="s">
        <v>835</v>
      </c>
    </row>
    <row r="404" spans="1:10" x14ac:dyDescent="0.25">
      <c r="A404" s="1" t="s">
        <v>426</v>
      </c>
      <c r="B404">
        <v>28</v>
      </c>
      <c r="C404" s="1" t="s">
        <v>11</v>
      </c>
      <c r="D404" s="1" t="s">
        <v>16</v>
      </c>
      <c r="E404" s="1" t="s">
        <v>23</v>
      </c>
      <c r="F404">
        <v>3</v>
      </c>
      <c r="G404">
        <v>5</v>
      </c>
      <c r="H404">
        <v>3.8</v>
      </c>
      <c r="I404">
        <v>70000</v>
      </c>
      <c r="J404" s="1" t="s">
        <v>835</v>
      </c>
    </row>
    <row r="405" spans="1:10" x14ac:dyDescent="0.25">
      <c r="A405" s="1" t="s">
        <v>427</v>
      </c>
      <c r="B405">
        <v>39</v>
      </c>
      <c r="C405" s="1" t="s">
        <v>15</v>
      </c>
      <c r="D405" s="1" t="s">
        <v>22</v>
      </c>
      <c r="E405" s="1" t="s">
        <v>23</v>
      </c>
      <c r="F405">
        <v>9</v>
      </c>
      <c r="G405">
        <v>6</v>
      </c>
      <c r="H405">
        <v>3.4</v>
      </c>
      <c r="I405">
        <v>75000</v>
      </c>
      <c r="J405" s="1" t="s">
        <v>835</v>
      </c>
    </row>
    <row r="406" spans="1:10" x14ac:dyDescent="0.25">
      <c r="A406" s="1" t="s">
        <v>428</v>
      </c>
      <c r="B406">
        <v>40</v>
      </c>
      <c r="C406" s="1" t="s">
        <v>11</v>
      </c>
      <c r="D406" s="1" t="s">
        <v>25</v>
      </c>
      <c r="E406" s="1" t="s">
        <v>26</v>
      </c>
      <c r="F406">
        <v>10</v>
      </c>
      <c r="G406">
        <v>7</v>
      </c>
      <c r="H406">
        <v>4.0999999999999996</v>
      </c>
      <c r="I406">
        <v>65000</v>
      </c>
      <c r="J406" s="1" t="s">
        <v>835</v>
      </c>
    </row>
    <row r="407" spans="1:10" x14ac:dyDescent="0.25">
      <c r="A407" s="1" t="s">
        <v>429</v>
      </c>
      <c r="B407">
        <v>27</v>
      </c>
      <c r="C407" s="1" t="s">
        <v>15</v>
      </c>
      <c r="D407" s="1" t="s">
        <v>28</v>
      </c>
      <c r="E407" s="1" t="s">
        <v>20</v>
      </c>
      <c r="F407">
        <v>2</v>
      </c>
      <c r="G407">
        <v>5</v>
      </c>
      <c r="H407">
        <v>3.7</v>
      </c>
      <c r="I407">
        <v>55000</v>
      </c>
      <c r="J407" s="1" t="s">
        <v>835</v>
      </c>
    </row>
    <row r="408" spans="1:10" x14ac:dyDescent="0.25">
      <c r="A408" s="1" t="s">
        <v>430</v>
      </c>
      <c r="B408">
        <v>42</v>
      </c>
      <c r="C408" s="1" t="s">
        <v>11</v>
      </c>
      <c r="D408" s="1" t="s">
        <v>12</v>
      </c>
      <c r="E408" s="1" t="s">
        <v>17</v>
      </c>
      <c r="F408">
        <v>11</v>
      </c>
      <c r="G408">
        <v>8</v>
      </c>
      <c r="H408">
        <v>4</v>
      </c>
      <c r="I408">
        <v>72000</v>
      </c>
      <c r="J408" s="1" t="s">
        <v>835</v>
      </c>
    </row>
    <row r="409" spans="1:10" x14ac:dyDescent="0.25">
      <c r="A409" s="1" t="s">
        <v>431</v>
      </c>
      <c r="B409">
        <v>29</v>
      </c>
      <c r="C409" s="1" t="s">
        <v>15</v>
      </c>
      <c r="D409" s="1" t="s">
        <v>19</v>
      </c>
      <c r="E409" s="1" t="s">
        <v>26</v>
      </c>
      <c r="F409">
        <v>3</v>
      </c>
      <c r="G409">
        <v>7</v>
      </c>
      <c r="H409">
        <v>3.9</v>
      </c>
      <c r="I409">
        <v>68000</v>
      </c>
      <c r="J409" s="1" t="s">
        <v>835</v>
      </c>
    </row>
    <row r="410" spans="1:10" x14ac:dyDescent="0.25">
      <c r="A410" s="1" t="s">
        <v>432</v>
      </c>
      <c r="B410">
        <v>31</v>
      </c>
      <c r="C410" s="1" t="s">
        <v>11</v>
      </c>
      <c r="D410" s="1" t="s">
        <v>22</v>
      </c>
      <c r="E410" s="1" t="s">
        <v>23</v>
      </c>
      <c r="F410">
        <v>5</v>
      </c>
      <c r="G410">
        <v>6</v>
      </c>
      <c r="H410">
        <v>3.5</v>
      </c>
      <c r="I410">
        <v>67000</v>
      </c>
      <c r="J410" s="1" t="s">
        <v>835</v>
      </c>
    </row>
    <row r="411" spans="1:10" x14ac:dyDescent="0.25">
      <c r="A411" s="1" t="s">
        <v>433</v>
      </c>
      <c r="B411">
        <v>33</v>
      </c>
      <c r="C411" s="1" t="s">
        <v>15</v>
      </c>
      <c r="D411" s="1" t="s">
        <v>28</v>
      </c>
      <c r="E411" s="1" t="s">
        <v>20</v>
      </c>
      <c r="F411">
        <v>6</v>
      </c>
      <c r="G411">
        <v>6</v>
      </c>
      <c r="H411">
        <v>3.8</v>
      </c>
      <c r="I411">
        <v>42000</v>
      </c>
      <c r="J411" s="1" t="s">
        <v>835</v>
      </c>
    </row>
    <row r="412" spans="1:10" x14ac:dyDescent="0.25">
      <c r="A412" s="1" t="s">
        <v>434</v>
      </c>
      <c r="B412">
        <v>37</v>
      </c>
      <c r="C412" s="1" t="s">
        <v>11</v>
      </c>
      <c r="D412" s="1" t="s">
        <v>16</v>
      </c>
      <c r="E412" s="1" t="s">
        <v>23</v>
      </c>
      <c r="F412">
        <v>7</v>
      </c>
      <c r="G412">
        <v>7</v>
      </c>
      <c r="H412">
        <v>4.3</v>
      </c>
      <c r="I412">
        <v>76000</v>
      </c>
      <c r="J412" s="1" t="s">
        <v>835</v>
      </c>
    </row>
    <row r="413" spans="1:10" x14ac:dyDescent="0.25">
      <c r="A413" s="1" t="s">
        <v>435</v>
      </c>
      <c r="B413">
        <v>28</v>
      </c>
      <c r="C413" s="1" t="s">
        <v>15</v>
      </c>
      <c r="D413" s="1" t="s">
        <v>12</v>
      </c>
      <c r="E413" s="1" t="s">
        <v>13</v>
      </c>
      <c r="F413">
        <v>2</v>
      </c>
      <c r="G413">
        <v>5</v>
      </c>
      <c r="H413">
        <v>3.2</v>
      </c>
      <c r="I413">
        <v>48000</v>
      </c>
      <c r="J413" s="1" t="s">
        <v>835</v>
      </c>
    </row>
    <row r="414" spans="1:10" x14ac:dyDescent="0.25">
      <c r="A414" s="1" t="s">
        <v>436</v>
      </c>
      <c r="B414">
        <v>34</v>
      </c>
      <c r="C414" s="1" t="s">
        <v>11</v>
      </c>
      <c r="D414" s="1" t="s">
        <v>22</v>
      </c>
      <c r="E414" s="1" t="s">
        <v>23</v>
      </c>
      <c r="F414">
        <v>6</v>
      </c>
      <c r="G414">
        <v>6</v>
      </c>
      <c r="H414">
        <v>3.7</v>
      </c>
      <c r="I414">
        <v>43000</v>
      </c>
      <c r="J414" s="1" t="s">
        <v>835</v>
      </c>
    </row>
    <row r="415" spans="1:10" x14ac:dyDescent="0.25">
      <c r="A415" s="1" t="s">
        <v>437</v>
      </c>
      <c r="B415">
        <v>36</v>
      </c>
      <c r="C415" s="1" t="s">
        <v>15</v>
      </c>
      <c r="D415" s="1" t="s">
        <v>28</v>
      </c>
      <c r="E415" s="1" t="s">
        <v>20</v>
      </c>
      <c r="F415">
        <v>8</v>
      </c>
      <c r="G415">
        <v>7</v>
      </c>
      <c r="H415">
        <v>4</v>
      </c>
      <c r="I415">
        <v>64000</v>
      </c>
      <c r="J415" s="1" t="s">
        <v>835</v>
      </c>
    </row>
    <row r="416" spans="1:10" x14ac:dyDescent="0.25">
      <c r="A416" s="1" t="s">
        <v>438</v>
      </c>
      <c r="B416">
        <v>30</v>
      </c>
      <c r="C416" s="1" t="s">
        <v>11</v>
      </c>
      <c r="D416" s="1" t="s">
        <v>12</v>
      </c>
      <c r="E416" s="1" t="s">
        <v>17</v>
      </c>
      <c r="F416">
        <v>5</v>
      </c>
      <c r="G416">
        <v>6</v>
      </c>
      <c r="H416">
        <v>3.9</v>
      </c>
      <c r="I416">
        <v>70000</v>
      </c>
      <c r="J416" s="1" t="s">
        <v>835</v>
      </c>
    </row>
    <row r="417" spans="1:10" x14ac:dyDescent="0.25">
      <c r="A417" s="1" t="s">
        <v>439</v>
      </c>
      <c r="B417">
        <v>31</v>
      </c>
      <c r="C417" s="1" t="s">
        <v>15</v>
      </c>
      <c r="D417" s="1" t="s">
        <v>16</v>
      </c>
      <c r="E417" s="1" t="s">
        <v>23</v>
      </c>
      <c r="F417">
        <v>4</v>
      </c>
      <c r="G417">
        <v>5</v>
      </c>
      <c r="H417">
        <v>3.5</v>
      </c>
      <c r="I417">
        <v>75000</v>
      </c>
      <c r="J417" s="1" t="s">
        <v>835</v>
      </c>
    </row>
    <row r="418" spans="1:10" x14ac:dyDescent="0.25">
      <c r="A418" s="1" t="s">
        <v>440</v>
      </c>
      <c r="B418">
        <v>29</v>
      </c>
      <c r="C418" s="1" t="s">
        <v>11</v>
      </c>
      <c r="D418" s="1" t="s">
        <v>19</v>
      </c>
      <c r="E418" s="1" t="s">
        <v>26</v>
      </c>
      <c r="F418">
        <v>3</v>
      </c>
      <c r="G418">
        <v>7</v>
      </c>
      <c r="H418">
        <v>3.4</v>
      </c>
      <c r="I418">
        <v>59000</v>
      </c>
      <c r="J418" s="1" t="s">
        <v>835</v>
      </c>
    </row>
    <row r="419" spans="1:10" x14ac:dyDescent="0.25">
      <c r="A419" s="1" t="s">
        <v>441</v>
      </c>
      <c r="B419">
        <v>40</v>
      </c>
      <c r="C419" s="1" t="s">
        <v>15</v>
      </c>
      <c r="D419" s="1" t="s">
        <v>22</v>
      </c>
      <c r="E419" s="1" t="s">
        <v>23</v>
      </c>
      <c r="F419">
        <v>8</v>
      </c>
      <c r="G419">
        <v>6</v>
      </c>
      <c r="H419">
        <v>3.7</v>
      </c>
      <c r="I419">
        <v>55000</v>
      </c>
      <c r="J419" s="1" t="s">
        <v>835</v>
      </c>
    </row>
    <row r="420" spans="1:10" x14ac:dyDescent="0.25">
      <c r="A420" s="1" t="s">
        <v>442</v>
      </c>
      <c r="B420">
        <v>45</v>
      </c>
      <c r="C420" s="1" t="s">
        <v>11</v>
      </c>
      <c r="D420" s="1" t="s">
        <v>25</v>
      </c>
      <c r="E420" s="1" t="s">
        <v>26</v>
      </c>
      <c r="F420">
        <v>11</v>
      </c>
      <c r="G420">
        <v>7</v>
      </c>
      <c r="H420">
        <v>4.0999999999999996</v>
      </c>
      <c r="I420">
        <v>60000</v>
      </c>
      <c r="J420" s="1" t="s">
        <v>835</v>
      </c>
    </row>
    <row r="421" spans="1:10" x14ac:dyDescent="0.25">
      <c r="A421" s="1" t="s">
        <v>443</v>
      </c>
      <c r="B421">
        <v>32</v>
      </c>
      <c r="C421" s="1" t="s">
        <v>15</v>
      </c>
      <c r="D421" s="1" t="s">
        <v>19</v>
      </c>
      <c r="E421" s="1" t="s">
        <v>26</v>
      </c>
      <c r="F421">
        <v>4</v>
      </c>
      <c r="G421">
        <v>5</v>
      </c>
      <c r="H421">
        <v>3.8</v>
      </c>
      <c r="I421">
        <v>73000</v>
      </c>
      <c r="J421" s="1" t="s">
        <v>835</v>
      </c>
    </row>
    <row r="422" spans="1:10" x14ac:dyDescent="0.25">
      <c r="A422" s="1" t="s">
        <v>444</v>
      </c>
      <c r="B422">
        <v>29</v>
      </c>
      <c r="C422" s="1" t="s">
        <v>11</v>
      </c>
      <c r="D422" s="1" t="s">
        <v>22</v>
      </c>
      <c r="E422" s="1" t="s">
        <v>23</v>
      </c>
      <c r="F422">
        <v>4</v>
      </c>
      <c r="G422">
        <v>6</v>
      </c>
      <c r="H422">
        <v>3.5</v>
      </c>
      <c r="I422">
        <v>49000</v>
      </c>
      <c r="J422" s="1" t="s">
        <v>835</v>
      </c>
    </row>
    <row r="423" spans="1:10" x14ac:dyDescent="0.25">
      <c r="A423" s="1" t="s">
        <v>445</v>
      </c>
      <c r="B423">
        <v>33</v>
      </c>
      <c r="C423" s="1" t="s">
        <v>15</v>
      </c>
      <c r="D423" s="1" t="s">
        <v>28</v>
      </c>
      <c r="E423" s="1" t="s">
        <v>20</v>
      </c>
      <c r="F423">
        <v>6</v>
      </c>
      <c r="G423">
        <v>6</v>
      </c>
      <c r="H423">
        <v>3.8</v>
      </c>
      <c r="I423">
        <v>41000</v>
      </c>
      <c r="J423" s="1" t="s">
        <v>835</v>
      </c>
    </row>
    <row r="424" spans="1:10" x14ac:dyDescent="0.25">
      <c r="A424" s="1" t="s">
        <v>446</v>
      </c>
      <c r="B424">
        <v>37</v>
      </c>
      <c r="C424" s="1" t="s">
        <v>11</v>
      </c>
      <c r="D424" s="1" t="s">
        <v>16</v>
      </c>
      <c r="E424" s="1" t="s">
        <v>23</v>
      </c>
      <c r="F424">
        <v>7</v>
      </c>
      <c r="G424">
        <v>7</v>
      </c>
      <c r="H424">
        <v>4.3</v>
      </c>
      <c r="I424">
        <v>60000</v>
      </c>
      <c r="J424" s="1" t="s">
        <v>835</v>
      </c>
    </row>
    <row r="425" spans="1:10" x14ac:dyDescent="0.25">
      <c r="A425" s="1" t="s">
        <v>447</v>
      </c>
      <c r="B425">
        <v>28</v>
      </c>
      <c r="C425" s="1" t="s">
        <v>15</v>
      </c>
      <c r="D425" s="1" t="s">
        <v>12</v>
      </c>
      <c r="E425" s="1" t="s">
        <v>13</v>
      </c>
      <c r="F425">
        <v>2</v>
      </c>
      <c r="G425">
        <v>5</v>
      </c>
      <c r="H425">
        <v>3.2</v>
      </c>
      <c r="I425">
        <v>78000</v>
      </c>
      <c r="J425" s="1" t="s">
        <v>835</v>
      </c>
    </row>
    <row r="426" spans="1:10" x14ac:dyDescent="0.25">
      <c r="A426" s="1" t="s">
        <v>448</v>
      </c>
      <c r="B426">
        <v>34</v>
      </c>
      <c r="C426" s="1" t="s">
        <v>11</v>
      </c>
      <c r="D426" s="1" t="s">
        <v>22</v>
      </c>
      <c r="E426" s="1" t="s">
        <v>23</v>
      </c>
      <c r="F426">
        <v>6</v>
      </c>
      <c r="G426">
        <v>6</v>
      </c>
      <c r="H426">
        <v>3.7</v>
      </c>
      <c r="I426">
        <v>64000</v>
      </c>
      <c r="J426" s="1" t="s">
        <v>835</v>
      </c>
    </row>
    <row r="427" spans="1:10" x14ac:dyDescent="0.25">
      <c r="A427" s="1" t="s">
        <v>449</v>
      </c>
      <c r="B427">
        <v>36</v>
      </c>
      <c r="C427" s="1" t="s">
        <v>15</v>
      </c>
      <c r="D427" s="1" t="s">
        <v>28</v>
      </c>
      <c r="E427" s="1" t="s">
        <v>20</v>
      </c>
      <c r="F427">
        <v>8</v>
      </c>
      <c r="G427">
        <v>7</v>
      </c>
      <c r="H427">
        <v>4</v>
      </c>
      <c r="I427">
        <v>43000</v>
      </c>
      <c r="J427" s="1" t="s">
        <v>835</v>
      </c>
    </row>
    <row r="428" spans="1:10" x14ac:dyDescent="0.25">
      <c r="A428" s="1" t="s">
        <v>450</v>
      </c>
      <c r="B428">
        <v>30</v>
      </c>
      <c r="C428" s="1" t="s">
        <v>11</v>
      </c>
      <c r="D428" s="1" t="s">
        <v>12</v>
      </c>
      <c r="E428" s="1" t="s">
        <v>17</v>
      </c>
      <c r="F428">
        <v>5</v>
      </c>
      <c r="G428">
        <v>6</v>
      </c>
      <c r="H428">
        <v>3.9</v>
      </c>
      <c r="I428">
        <v>48000</v>
      </c>
      <c r="J428" s="1" t="s">
        <v>835</v>
      </c>
    </row>
    <row r="429" spans="1:10" x14ac:dyDescent="0.25">
      <c r="A429" s="1" t="s">
        <v>451</v>
      </c>
      <c r="B429">
        <v>31</v>
      </c>
      <c r="C429" s="1" t="s">
        <v>15</v>
      </c>
      <c r="D429" s="1" t="s">
        <v>16</v>
      </c>
      <c r="E429" s="1" t="s">
        <v>23</v>
      </c>
      <c r="F429">
        <v>4</v>
      </c>
      <c r="G429">
        <v>5</v>
      </c>
      <c r="H429">
        <v>3.5</v>
      </c>
      <c r="I429">
        <v>75000</v>
      </c>
      <c r="J429" s="1" t="s">
        <v>835</v>
      </c>
    </row>
    <row r="430" spans="1:10" x14ac:dyDescent="0.25">
      <c r="A430" s="1" t="s">
        <v>452</v>
      </c>
      <c r="B430">
        <v>29</v>
      </c>
      <c r="C430" s="1" t="s">
        <v>11</v>
      </c>
      <c r="D430" s="1" t="s">
        <v>19</v>
      </c>
      <c r="E430" s="1" t="s">
        <v>26</v>
      </c>
      <c r="F430">
        <v>3</v>
      </c>
      <c r="G430">
        <v>7</v>
      </c>
      <c r="H430">
        <v>3.4</v>
      </c>
      <c r="I430">
        <v>60000</v>
      </c>
      <c r="J430" s="1" t="s">
        <v>835</v>
      </c>
    </row>
    <row r="431" spans="1:10" x14ac:dyDescent="0.25">
      <c r="A431" s="1" t="s">
        <v>453</v>
      </c>
      <c r="B431">
        <v>40</v>
      </c>
      <c r="C431" s="1" t="s">
        <v>15</v>
      </c>
      <c r="D431" s="1" t="s">
        <v>22</v>
      </c>
      <c r="E431" s="1" t="s">
        <v>23</v>
      </c>
      <c r="F431">
        <v>8</v>
      </c>
      <c r="G431">
        <v>6</v>
      </c>
      <c r="H431">
        <v>3.7</v>
      </c>
      <c r="I431">
        <v>57000</v>
      </c>
      <c r="J431" s="1" t="s">
        <v>835</v>
      </c>
    </row>
    <row r="432" spans="1:10" x14ac:dyDescent="0.25">
      <c r="A432" s="1" t="s">
        <v>454</v>
      </c>
      <c r="B432">
        <v>45</v>
      </c>
      <c r="C432" s="1" t="s">
        <v>11</v>
      </c>
      <c r="D432" s="1" t="s">
        <v>25</v>
      </c>
      <c r="E432" s="1" t="s">
        <v>26</v>
      </c>
      <c r="F432">
        <v>11</v>
      </c>
      <c r="G432">
        <v>7</v>
      </c>
      <c r="H432">
        <v>4.0999999999999996</v>
      </c>
      <c r="I432">
        <v>65000</v>
      </c>
      <c r="J432" s="1" t="s">
        <v>835</v>
      </c>
    </row>
    <row r="433" spans="1:10" x14ac:dyDescent="0.25">
      <c r="A433" s="1" t="s">
        <v>455</v>
      </c>
      <c r="B433">
        <v>32</v>
      </c>
      <c r="C433" s="1" t="s">
        <v>15</v>
      </c>
      <c r="D433" s="1" t="s">
        <v>19</v>
      </c>
      <c r="E433" s="1" t="s">
        <v>26</v>
      </c>
      <c r="F433">
        <v>4</v>
      </c>
      <c r="G433">
        <v>5</v>
      </c>
      <c r="H433">
        <v>3.8</v>
      </c>
      <c r="I433">
        <v>59000</v>
      </c>
      <c r="J433" s="1" t="s">
        <v>835</v>
      </c>
    </row>
    <row r="434" spans="1:10" x14ac:dyDescent="0.25">
      <c r="A434" s="1" t="s">
        <v>456</v>
      </c>
      <c r="B434">
        <v>29</v>
      </c>
      <c r="C434" s="1" t="s">
        <v>11</v>
      </c>
      <c r="D434" s="1" t="s">
        <v>22</v>
      </c>
      <c r="E434" s="1" t="s">
        <v>23</v>
      </c>
      <c r="F434">
        <v>4</v>
      </c>
      <c r="G434">
        <v>6</v>
      </c>
      <c r="H434">
        <v>3.5</v>
      </c>
      <c r="I434">
        <v>75000</v>
      </c>
      <c r="J434" s="1" t="s">
        <v>835</v>
      </c>
    </row>
    <row r="435" spans="1:10" x14ac:dyDescent="0.25">
      <c r="A435" s="1" t="s">
        <v>457</v>
      </c>
      <c r="B435">
        <v>33</v>
      </c>
      <c r="C435" s="1" t="s">
        <v>15</v>
      </c>
      <c r="D435" s="1" t="s">
        <v>28</v>
      </c>
      <c r="E435" s="1" t="s">
        <v>20</v>
      </c>
      <c r="F435">
        <v>6</v>
      </c>
      <c r="G435">
        <v>6</v>
      </c>
      <c r="H435">
        <v>3.8</v>
      </c>
      <c r="I435">
        <v>42000</v>
      </c>
      <c r="J435" s="1" t="s">
        <v>835</v>
      </c>
    </row>
    <row r="436" spans="1:10" x14ac:dyDescent="0.25">
      <c r="A436" s="1" t="s">
        <v>458</v>
      </c>
      <c r="B436">
        <v>37</v>
      </c>
      <c r="C436" s="1" t="s">
        <v>11</v>
      </c>
      <c r="D436" s="1" t="s">
        <v>16</v>
      </c>
      <c r="E436" s="1" t="s">
        <v>23</v>
      </c>
      <c r="F436">
        <v>7</v>
      </c>
      <c r="G436">
        <v>7</v>
      </c>
      <c r="H436">
        <v>4.3</v>
      </c>
      <c r="I436">
        <v>76000</v>
      </c>
      <c r="J436" s="1" t="s">
        <v>835</v>
      </c>
    </row>
    <row r="437" spans="1:10" x14ac:dyDescent="0.25">
      <c r="A437" s="1" t="s">
        <v>459</v>
      </c>
      <c r="B437">
        <v>28</v>
      </c>
      <c r="C437" s="1" t="s">
        <v>15</v>
      </c>
      <c r="D437" s="1" t="s">
        <v>12</v>
      </c>
      <c r="E437" s="1" t="s">
        <v>13</v>
      </c>
      <c r="F437">
        <v>2</v>
      </c>
      <c r="G437">
        <v>5</v>
      </c>
      <c r="H437">
        <v>3.2</v>
      </c>
      <c r="I437">
        <v>58000</v>
      </c>
      <c r="J437" s="1" t="s">
        <v>835</v>
      </c>
    </row>
    <row r="438" spans="1:10" x14ac:dyDescent="0.25">
      <c r="A438" s="1" t="s">
        <v>460</v>
      </c>
      <c r="B438">
        <v>34</v>
      </c>
      <c r="C438" s="1" t="s">
        <v>11</v>
      </c>
      <c r="D438" s="1" t="s">
        <v>22</v>
      </c>
      <c r="E438" s="1" t="s">
        <v>23</v>
      </c>
      <c r="F438">
        <v>6</v>
      </c>
      <c r="G438">
        <v>6</v>
      </c>
      <c r="H438">
        <v>3.7</v>
      </c>
      <c r="I438">
        <v>70000</v>
      </c>
      <c r="J438" s="1" t="s">
        <v>835</v>
      </c>
    </row>
    <row r="439" spans="1:10" x14ac:dyDescent="0.25">
      <c r="A439" s="1" t="s">
        <v>461</v>
      </c>
      <c r="B439">
        <v>36</v>
      </c>
      <c r="C439" s="1" t="s">
        <v>15</v>
      </c>
      <c r="D439" s="1" t="s">
        <v>28</v>
      </c>
      <c r="E439" s="1" t="s">
        <v>20</v>
      </c>
      <c r="F439">
        <v>8</v>
      </c>
      <c r="G439">
        <v>7</v>
      </c>
      <c r="H439">
        <v>4</v>
      </c>
      <c r="I439">
        <v>60000</v>
      </c>
      <c r="J439" s="1" t="s">
        <v>835</v>
      </c>
    </row>
    <row r="440" spans="1:10" x14ac:dyDescent="0.25">
      <c r="A440" s="1" t="s">
        <v>462</v>
      </c>
      <c r="B440">
        <v>30</v>
      </c>
      <c r="C440" s="1" t="s">
        <v>11</v>
      </c>
      <c r="D440" s="1" t="s">
        <v>12</v>
      </c>
      <c r="E440" s="1" t="s">
        <v>17</v>
      </c>
      <c r="F440">
        <v>5</v>
      </c>
      <c r="G440">
        <v>6</v>
      </c>
      <c r="H440">
        <v>3.9</v>
      </c>
      <c r="I440">
        <v>65000</v>
      </c>
      <c r="J440" s="1" t="s">
        <v>835</v>
      </c>
    </row>
    <row r="441" spans="1:10" x14ac:dyDescent="0.25">
      <c r="A441" s="1" t="s">
        <v>463</v>
      </c>
      <c r="B441">
        <v>31</v>
      </c>
      <c r="C441" s="1" t="s">
        <v>15</v>
      </c>
      <c r="D441" s="1" t="s">
        <v>16</v>
      </c>
      <c r="E441" s="1" t="s">
        <v>23</v>
      </c>
      <c r="F441">
        <v>4</v>
      </c>
      <c r="G441">
        <v>5</v>
      </c>
      <c r="H441">
        <v>3.5</v>
      </c>
      <c r="I441">
        <v>59000</v>
      </c>
      <c r="J441" s="1" t="s">
        <v>835</v>
      </c>
    </row>
    <row r="442" spans="1:10" x14ac:dyDescent="0.25">
      <c r="A442" s="1" t="s">
        <v>464</v>
      </c>
      <c r="B442">
        <v>29</v>
      </c>
      <c r="C442" s="1" t="s">
        <v>11</v>
      </c>
      <c r="D442" s="1" t="s">
        <v>19</v>
      </c>
      <c r="E442" s="1" t="s">
        <v>26</v>
      </c>
      <c r="F442">
        <v>3</v>
      </c>
      <c r="G442">
        <v>7</v>
      </c>
      <c r="H442">
        <v>3.4</v>
      </c>
      <c r="I442">
        <v>62000</v>
      </c>
      <c r="J442" s="1" t="s">
        <v>835</v>
      </c>
    </row>
    <row r="443" spans="1:10" x14ac:dyDescent="0.25">
      <c r="A443" s="1" t="s">
        <v>465</v>
      </c>
      <c r="B443">
        <v>40</v>
      </c>
      <c r="C443" s="1" t="s">
        <v>15</v>
      </c>
      <c r="D443" s="1" t="s">
        <v>22</v>
      </c>
      <c r="E443" s="1" t="s">
        <v>23</v>
      </c>
      <c r="F443">
        <v>8</v>
      </c>
      <c r="G443">
        <v>6</v>
      </c>
      <c r="H443">
        <v>3.7</v>
      </c>
      <c r="I443">
        <v>48000</v>
      </c>
      <c r="J443" s="1" t="s">
        <v>835</v>
      </c>
    </row>
    <row r="444" spans="1:10" x14ac:dyDescent="0.25">
      <c r="A444" s="1" t="s">
        <v>466</v>
      </c>
      <c r="B444">
        <v>45</v>
      </c>
      <c r="C444" s="1" t="s">
        <v>11</v>
      </c>
      <c r="D444" s="1" t="s">
        <v>25</v>
      </c>
      <c r="E444" s="1" t="s">
        <v>26</v>
      </c>
      <c r="F444">
        <v>11</v>
      </c>
      <c r="G444">
        <v>7</v>
      </c>
      <c r="H444">
        <v>4.0999999999999996</v>
      </c>
      <c r="I444">
        <v>57000</v>
      </c>
      <c r="J444" s="1" t="s">
        <v>835</v>
      </c>
    </row>
    <row r="445" spans="1:10" x14ac:dyDescent="0.25">
      <c r="A445" s="1" t="s">
        <v>467</v>
      </c>
      <c r="B445">
        <v>32</v>
      </c>
      <c r="C445" s="1" t="s">
        <v>15</v>
      </c>
      <c r="D445" s="1" t="s">
        <v>19</v>
      </c>
      <c r="E445" s="1" t="s">
        <v>26</v>
      </c>
      <c r="F445">
        <v>4</v>
      </c>
      <c r="G445">
        <v>5</v>
      </c>
      <c r="H445">
        <v>3.8</v>
      </c>
      <c r="I445">
        <v>70000</v>
      </c>
      <c r="J445" s="1" t="s">
        <v>835</v>
      </c>
    </row>
    <row r="446" spans="1:10" x14ac:dyDescent="0.25">
      <c r="A446" s="1" t="s">
        <v>468</v>
      </c>
      <c r="B446">
        <v>29</v>
      </c>
      <c r="C446" s="1" t="s">
        <v>11</v>
      </c>
      <c r="D446" s="1" t="s">
        <v>22</v>
      </c>
      <c r="E446" s="1" t="s">
        <v>23</v>
      </c>
      <c r="F446">
        <v>4</v>
      </c>
      <c r="G446">
        <v>6</v>
      </c>
      <c r="H446">
        <v>3.5</v>
      </c>
      <c r="I446">
        <v>75000</v>
      </c>
      <c r="J446" s="1" t="s">
        <v>835</v>
      </c>
    </row>
    <row r="447" spans="1:10" x14ac:dyDescent="0.25">
      <c r="A447" s="1" t="s">
        <v>469</v>
      </c>
      <c r="B447">
        <v>33</v>
      </c>
      <c r="C447" s="1" t="s">
        <v>15</v>
      </c>
      <c r="D447" s="1" t="s">
        <v>28</v>
      </c>
      <c r="E447" s="1" t="s">
        <v>20</v>
      </c>
      <c r="F447">
        <v>6</v>
      </c>
      <c r="G447">
        <v>6</v>
      </c>
      <c r="H447">
        <v>3.8</v>
      </c>
      <c r="I447">
        <v>42000</v>
      </c>
      <c r="J447" s="1" t="s">
        <v>835</v>
      </c>
    </row>
    <row r="448" spans="1:10" x14ac:dyDescent="0.25">
      <c r="A448" s="1" t="s">
        <v>470</v>
      </c>
      <c r="B448">
        <v>37</v>
      </c>
      <c r="C448" s="1" t="s">
        <v>11</v>
      </c>
      <c r="D448" s="1" t="s">
        <v>16</v>
      </c>
      <c r="E448" s="1" t="s">
        <v>23</v>
      </c>
      <c r="F448">
        <v>7</v>
      </c>
      <c r="G448">
        <v>7</v>
      </c>
      <c r="H448">
        <v>4.3</v>
      </c>
      <c r="I448">
        <v>76000</v>
      </c>
      <c r="J448" s="1" t="s">
        <v>835</v>
      </c>
    </row>
    <row r="449" spans="1:10" x14ac:dyDescent="0.25">
      <c r="A449" s="1" t="s">
        <v>471</v>
      </c>
      <c r="B449">
        <v>28</v>
      </c>
      <c r="C449" s="1" t="s">
        <v>15</v>
      </c>
      <c r="D449" s="1" t="s">
        <v>12</v>
      </c>
      <c r="E449" s="1" t="s">
        <v>13</v>
      </c>
      <c r="F449">
        <v>2</v>
      </c>
      <c r="G449">
        <v>5</v>
      </c>
      <c r="H449">
        <v>3.2</v>
      </c>
      <c r="I449">
        <v>58000</v>
      </c>
      <c r="J449" s="1" t="s">
        <v>835</v>
      </c>
    </row>
    <row r="450" spans="1:10" x14ac:dyDescent="0.25">
      <c r="A450" s="1" t="s">
        <v>472</v>
      </c>
      <c r="B450">
        <v>34</v>
      </c>
      <c r="C450" s="1" t="s">
        <v>11</v>
      </c>
      <c r="D450" s="1" t="s">
        <v>22</v>
      </c>
      <c r="E450" s="1" t="s">
        <v>23</v>
      </c>
      <c r="F450">
        <v>6</v>
      </c>
      <c r="G450">
        <v>6</v>
      </c>
      <c r="H450">
        <v>3.7</v>
      </c>
      <c r="I450">
        <v>70000</v>
      </c>
      <c r="J450" s="1" t="s">
        <v>835</v>
      </c>
    </row>
    <row r="451" spans="1:10" x14ac:dyDescent="0.25">
      <c r="A451" s="1" t="s">
        <v>473</v>
      </c>
      <c r="B451">
        <v>36</v>
      </c>
      <c r="C451" s="1" t="s">
        <v>15</v>
      </c>
      <c r="D451" s="1" t="s">
        <v>28</v>
      </c>
      <c r="E451" s="1" t="s">
        <v>20</v>
      </c>
      <c r="F451">
        <v>8</v>
      </c>
      <c r="G451">
        <v>7</v>
      </c>
      <c r="H451">
        <v>4</v>
      </c>
      <c r="I451">
        <v>60000</v>
      </c>
      <c r="J451" s="1" t="s">
        <v>835</v>
      </c>
    </row>
    <row r="452" spans="1:10" x14ac:dyDescent="0.25">
      <c r="A452" s="1" t="s">
        <v>474</v>
      </c>
      <c r="B452">
        <v>31</v>
      </c>
      <c r="C452" s="1" t="s">
        <v>11</v>
      </c>
      <c r="D452" s="1" t="s">
        <v>12</v>
      </c>
      <c r="E452" s="1" t="s">
        <v>13</v>
      </c>
      <c r="F452">
        <v>4</v>
      </c>
      <c r="G452">
        <v>6</v>
      </c>
      <c r="H452">
        <v>3.6</v>
      </c>
      <c r="I452">
        <v>75000</v>
      </c>
      <c r="J452" s="1" t="s">
        <v>834</v>
      </c>
    </row>
    <row r="453" spans="1:10" x14ac:dyDescent="0.25">
      <c r="A453" s="1" t="s">
        <v>475</v>
      </c>
      <c r="B453">
        <v>35</v>
      </c>
      <c r="C453" s="1" t="s">
        <v>15</v>
      </c>
      <c r="D453" s="1" t="s">
        <v>19</v>
      </c>
      <c r="E453" s="1" t="s">
        <v>26</v>
      </c>
      <c r="F453">
        <v>7</v>
      </c>
      <c r="G453">
        <v>7</v>
      </c>
      <c r="H453">
        <v>3.5</v>
      </c>
      <c r="I453">
        <v>59000</v>
      </c>
      <c r="J453" s="1" t="s">
        <v>834</v>
      </c>
    </row>
    <row r="454" spans="1:10" x14ac:dyDescent="0.25">
      <c r="A454" s="1" t="s">
        <v>476</v>
      </c>
      <c r="B454">
        <v>28</v>
      </c>
      <c r="C454" s="1" t="s">
        <v>11</v>
      </c>
      <c r="D454" s="1" t="s">
        <v>16</v>
      </c>
      <c r="E454" s="1" t="s">
        <v>23</v>
      </c>
      <c r="F454">
        <v>3</v>
      </c>
      <c r="G454">
        <v>5</v>
      </c>
      <c r="H454">
        <v>3.8</v>
      </c>
      <c r="I454">
        <v>61000</v>
      </c>
      <c r="J454" s="1" t="s">
        <v>834</v>
      </c>
    </row>
    <row r="455" spans="1:10" x14ac:dyDescent="0.25">
      <c r="A455" s="1" t="s">
        <v>477</v>
      </c>
      <c r="B455">
        <v>39</v>
      </c>
      <c r="C455" s="1" t="s">
        <v>15</v>
      </c>
      <c r="D455" s="1" t="s">
        <v>22</v>
      </c>
      <c r="E455" s="1" t="s">
        <v>23</v>
      </c>
      <c r="F455">
        <v>9</v>
      </c>
      <c r="G455">
        <v>6</v>
      </c>
      <c r="H455">
        <v>3.4</v>
      </c>
      <c r="I455">
        <v>57000</v>
      </c>
      <c r="J455" s="1" t="s">
        <v>834</v>
      </c>
    </row>
    <row r="456" spans="1:10" x14ac:dyDescent="0.25">
      <c r="A456" s="1" t="s">
        <v>478</v>
      </c>
      <c r="B456">
        <v>40</v>
      </c>
      <c r="C456" s="1" t="s">
        <v>11</v>
      </c>
      <c r="D456" s="1" t="s">
        <v>25</v>
      </c>
      <c r="E456" s="1" t="s">
        <v>26</v>
      </c>
      <c r="F456">
        <v>10</v>
      </c>
      <c r="G456">
        <v>7</v>
      </c>
      <c r="H456">
        <v>4.0999999999999996</v>
      </c>
      <c r="I456">
        <v>59000</v>
      </c>
      <c r="J456" s="1" t="s">
        <v>834</v>
      </c>
    </row>
    <row r="457" spans="1:10" x14ac:dyDescent="0.25">
      <c r="A457" s="1" t="s">
        <v>479</v>
      </c>
      <c r="B457">
        <v>27</v>
      </c>
      <c r="C457" s="1" t="s">
        <v>15</v>
      </c>
      <c r="D457" s="1" t="s">
        <v>28</v>
      </c>
      <c r="E457" s="1" t="s">
        <v>20</v>
      </c>
      <c r="F457">
        <v>2</v>
      </c>
      <c r="G457">
        <v>5</v>
      </c>
      <c r="H457">
        <v>3.7</v>
      </c>
      <c r="I457">
        <v>60000</v>
      </c>
      <c r="J457" s="1" t="s">
        <v>834</v>
      </c>
    </row>
    <row r="458" spans="1:10" x14ac:dyDescent="0.25">
      <c r="A458" s="1" t="s">
        <v>480</v>
      </c>
      <c r="B458">
        <v>42</v>
      </c>
      <c r="C458" s="1" t="s">
        <v>11</v>
      </c>
      <c r="D458" s="1" t="s">
        <v>12</v>
      </c>
      <c r="E458" s="1" t="s">
        <v>17</v>
      </c>
      <c r="F458">
        <v>11</v>
      </c>
      <c r="G458">
        <v>8</v>
      </c>
      <c r="H458">
        <v>4</v>
      </c>
      <c r="I458">
        <v>64000</v>
      </c>
      <c r="J458" s="1" t="s">
        <v>834</v>
      </c>
    </row>
    <row r="459" spans="1:10" x14ac:dyDescent="0.25">
      <c r="A459" s="1" t="s">
        <v>481</v>
      </c>
      <c r="B459">
        <v>29</v>
      </c>
      <c r="C459" s="1" t="s">
        <v>15</v>
      </c>
      <c r="D459" s="1" t="s">
        <v>19</v>
      </c>
      <c r="E459" s="1" t="s">
        <v>26</v>
      </c>
      <c r="F459">
        <v>3</v>
      </c>
      <c r="G459">
        <v>7</v>
      </c>
      <c r="H459">
        <v>3.9</v>
      </c>
      <c r="I459">
        <v>61000</v>
      </c>
      <c r="J459" s="1" t="s">
        <v>834</v>
      </c>
    </row>
    <row r="460" spans="1:10" x14ac:dyDescent="0.25">
      <c r="A460" s="1" t="s">
        <v>482</v>
      </c>
      <c r="B460">
        <v>31</v>
      </c>
      <c r="C460" s="1" t="s">
        <v>11</v>
      </c>
      <c r="D460" s="1" t="s">
        <v>22</v>
      </c>
      <c r="E460" s="1" t="s">
        <v>23</v>
      </c>
      <c r="F460">
        <v>5</v>
      </c>
      <c r="G460">
        <v>6</v>
      </c>
      <c r="H460">
        <v>3.5</v>
      </c>
      <c r="I460">
        <v>59000</v>
      </c>
      <c r="J460" s="1" t="s">
        <v>834</v>
      </c>
    </row>
    <row r="461" spans="1:10" x14ac:dyDescent="0.25">
      <c r="A461" s="1" t="s">
        <v>483</v>
      </c>
      <c r="B461">
        <v>33</v>
      </c>
      <c r="C461" s="1" t="s">
        <v>15</v>
      </c>
      <c r="D461" s="1" t="s">
        <v>28</v>
      </c>
      <c r="E461" s="1" t="s">
        <v>20</v>
      </c>
      <c r="F461">
        <v>6</v>
      </c>
      <c r="G461">
        <v>6</v>
      </c>
      <c r="H461">
        <v>3.8</v>
      </c>
      <c r="I461">
        <v>61000</v>
      </c>
      <c r="J461" s="1" t="s">
        <v>834</v>
      </c>
    </row>
    <row r="462" spans="1:10" x14ac:dyDescent="0.25">
      <c r="A462" s="1" t="s">
        <v>484</v>
      </c>
      <c r="B462">
        <v>30</v>
      </c>
      <c r="C462" s="1" t="s">
        <v>11</v>
      </c>
      <c r="D462" s="1" t="s">
        <v>12</v>
      </c>
      <c r="E462" s="1" t="s">
        <v>13</v>
      </c>
      <c r="F462">
        <v>5</v>
      </c>
      <c r="G462">
        <v>6</v>
      </c>
      <c r="H462">
        <v>3.9</v>
      </c>
      <c r="I462">
        <v>65000</v>
      </c>
      <c r="J462" s="1" t="s">
        <v>835</v>
      </c>
    </row>
    <row r="463" spans="1:10" x14ac:dyDescent="0.25">
      <c r="A463" s="1" t="s">
        <v>485</v>
      </c>
      <c r="B463">
        <v>31</v>
      </c>
      <c r="C463" s="1" t="s">
        <v>15</v>
      </c>
      <c r="D463" s="1" t="s">
        <v>16</v>
      </c>
      <c r="E463" s="1" t="s">
        <v>23</v>
      </c>
      <c r="F463">
        <v>4</v>
      </c>
      <c r="G463">
        <v>5</v>
      </c>
      <c r="H463">
        <v>3.5</v>
      </c>
      <c r="I463">
        <v>59000</v>
      </c>
      <c r="J463" s="1" t="s">
        <v>835</v>
      </c>
    </row>
    <row r="464" spans="1:10" x14ac:dyDescent="0.25">
      <c r="A464" s="1" t="s">
        <v>486</v>
      </c>
      <c r="B464">
        <v>29</v>
      </c>
      <c r="C464" s="1" t="s">
        <v>11</v>
      </c>
      <c r="D464" s="1" t="s">
        <v>19</v>
      </c>
      <c r="E464" s="1" t="s">
        <v>26</v>
      </c>
      <c r="F464">
        <v>3</v>
      </c>
      <c r="G464">
        <v>7</v>
      </c>
      <c r="H464">
        <v>3.4</v>
      </c>
      <c r="I464">
        <v>62000</v>
      </c>
      <c r="J464" s="1" t="s">
        <v>835</v>
      </c>
    </row>
    <row r="465" spans="1:10" x14ac:dyDescent="0.25">
      <c r="A465" s="1" t="s">
        <v>487</v>
      </c>
      <c r="B465">
        <v>40</v>
      </c>
      <c r="C465" s="1" t="s">
        <v>15</v>
      </c>
      <c r="D465" s="1" t="s">
        <v>22</v>
      </c>
      <c r="E465" s="1" t="s">
        <v>23</v>
      </c>
      <c r="F465">
        <v>8</v>
      </c>
      <c r="G465">
        <v>6</v>
      </c>
      <c r="H465">
        <v>3.7</v>
      </c>
      <c r="I465">
        <v>48000</v>
      </c>
      <c r="J465" s="1" t="s">
        <v>835</v>
      </c>
    </row>
    <row r="466" spans="1:10" x14ac:dyDescent="0.25">
      <c r="A466" s="1" t="s">
        <v>488</v>
      </c>
      <c r="B466">
        <v>45</v>
      </c>
      <c r="C466" s="1" t="s">
        <v>11</v>
      </c>
      <c r="D466" s="1" t="s">
        <v>25</v>
      </c>
      <c r="E466" s="1" t="s">
        <v>26</v>
      </c>
      <c r="F466">
        <v>11</v>
      </c>
      <c r="G466">
        <v>7</v>
      </c>
      <c r="H466">
        <v>4.0999999999999996</v>
      </c>
      <c r="I466">
        <v>57000</v>
      </c>
      <c r="J466" s="1" t="s">
        <v>835</v>
      </c>
    </row>
    <row r="467" spans="1:10" x14ac:dyDescent="0.25">
      <c r="A467" s="1" t="s">
        <v>489</v>
      </c>
      <c r="B467">
        <v>32</v>
      </c>
      <c r="C467" s="1" t="s">
        <v>15</v>
      </c>
      <c r="D467" s="1" t="s">
        <v>19</v>
      </c>
      <c r="E467" s="1" t="s">
        <v>26</v>
      </c>
      <c r="F467">
        <v>4</v>
      </c>
      <c r="G467">
        <v>5</v>
      </c>
      <c r="H467">
        <v>3.8</v>
      </c>
      <c r="I467">
        <v>70000</v>
      </c>
      <c r="J467" s="1" t="s">
        <v>835</v>
      </c>
    </row>
    <row r="468" spans="1:10" x14ac:dyDescent="0.25">
      <c r="A468" s="1" t="s">
        <v>490</v>
      </c>
      <c r="B468">
        <v>29</v>
      </c>
      <c r="C468" s="1" t="s">
        <v>11</v>
      </c>
      <c r="D468" s="1" t="s">
        <v>22</v>
      </c>
      <c r="E468" s="1" t="s">
        <v>23</v>
      </c>
      <c r="F468">
        <v>4</v>
      </c>
      <c r="G468">
        <v>6</v>
      </c>
      <c r="H468">
        <v>3.5</v>
      </c>
      <c r="I468">
        <v>75000</v>
      </c>
      <c r="J468" s="1" t="s">
        <v>835</v>
      </c>
    </row>
    <row r="469" spans="1:10" x14ac:dyDescent="0.25">
      <c r="A469" s="1" t="s">
        <v>491</v>
      </c>
      <c r="B469">
        <v>33</v>
      </c>
      <c r="C469" s="1" t="s">
        <v>15</v>
      </c>
      <c r="D469" s="1" t="s">
        <v>28</v>
      </c>
      <c r="E469" s="1" t="s">
        <v>20</v>
      </c>
      <c r="F469">
        <v>6</v>
      </c>
      <c r="G469">
        <v>6</v>
      </c>
      <c r="H469">
        <v>3.8</v>
      </c>
      <c r="I469">
        <v>42000</v>
      </c>
      <c r="J469" s="1" t="s">
        <v>835</v>
      </c>
    </row>
    <row r="470" spans="1:10" x14ac:dyDescent="0.25">
      <c r="A470" s="1" t="s">
        <v>492</v>
      </c>
      <c r="B470">
        <v>37</v>
      </c>
      <c r="C470" s="1" t="s">
        <v>11</v>
      </c>
      <c r="D470" s="1" t="s">
        <v>16</v>
      </c>
      <c r="E470" s="1" t="s">
        <v>23</v>
      </c>
      <c r="F470">
        <v>7</v>
      </c>
      <c r="G470">
        <v>7</v>
      </c>
      <c r="H470">
        <v>4.3</v>
      </c>
      <c r="I470">
        <v>76000</v>
      </c>
      <c r="J470" s="1" t="s">
        <v>835</v>
      </c>
    </row>
    <row r="471" spans="1:10" x14ac:dyDescent="0.25">
      <c r="A471" s="1" t="s">
        <v>493</v>
      </c>
      <c r="B471">
        <v>28</v>
      </c>
      <c r="C471" s="1" t="s">
        <v>15</v>
      </c>
      <c r="D471" s="1" t="s">
        <v>12</v>
      </c>
      <c r="E471" s="1" t="s">
        <v>13</v>
      </c>
      <c r="F471">
        <v>2</v>
      </c>
      <c r="G471">
        <v>5</v>
      </c>
      <c r="H471">
        <v>3.2</v>
      </c>
      <c r="I471">
        <v>58000</v>
      </c>
      <c r="J471" s="1" t="s">
        <v>835</v>
      </c>
    </row>
    <row r="472" spans="1:10" x14ac:dyDescent="0.25">
      <c r="A472" s="1" t="s">
        <v>494</v>
      </c>
      <c r="B472">
        <v>34</v>
      </c>
      <c r="C472" s="1" t="s">
        <v>11</v>
      </c>
      <c r="D472" s="1" t="s">
        <v>22</v>
      </c>
      <c r="E472" s="1" t="s">
        <v>23</v>
      </c>
      <c r="F472">
        <v>6</v>
      </c>
      <c r="G472">
        <v>6</v>
      </c>
      <c r="H472">
        <v>3.7</v>
      </c>
      <c r="I472">
        <v>70000</v>
      </c>
      <c r="J472" s="1" t="s">
        <v>835</v>
      </c>
    </row>
    <row r="473" spans="1:10" x14ac:dyDescent="0.25">
      <c r="A473" s="1" t="s">
        <v>495</v>
      </c>
      <c r="B473">
        <v>36</v>
      </c>
      <c r="C473" s="1" t="s">
        <v>15</v>
      </c>
      <c r="D473" s="1" t="s">
        <v>28</v>
      </c>
      <c r="E473" s="1" t="s">
        <v>20</v>
      </c>
      <c r="F473">
        <v>8</v>
      </c>
      <c r="G473">
        <v>7</v>
      </c>
      <c r="H473">
        <v>4</v>
      </c>
      <c r="I473">
        <v>60000</v>
      </c>
      <c r="J473" s="1" t="s">
        <v>835</v>
      </c>
    </row>
    <row r="474" spans="1:10" x14ac:dyDescent="0.25">
      <c r="A474" s="1" t="s">
        <v>496</v>
      </c>
      <c r="B474">
        <v>30</v>
      </c>
      <c r="C474" s="1" t="s">
        <v>11</v>
      </c>
      <c r="D474" s="1" t="s">
        <v>12</v>
      </c>
      <c r="E474" s="1" t="s">
        <v>17</v>
      </c>
      <c r="F474">
        <v>5</v>
      </c>
      <c r="G474">
        <v>6</v>
      </c>
      <c r="H474">
        <v>3.9</v>
      </c>
      <c r="I474">
        <v>65000</v>
      </c>
      <c r="J474" s="1" t="s">
        <v>835</v>
      </c>
    </row>
    <row r="475" spans="1:10" x14ac:dyDescent="0.25">
      <c r="A475" s="1" t="s">
        <v>497</v>
      </c>
      <c r="B475">
        <v>31</v>
      </c>
      <c r="C475" s="1" t="s">
        <v>15</v>
      </c>
      <c r="D475" s="1" t="s">
        <v>16</v>
      </c>
      <c r="E475" s="1" t="s">
        <v>23</v>
      </c>
      <c r="F475">
        <v>4</v>
      </c>
      <c r="G475">
        <v>5</v>
      </c>
      <c r="H475">
        <v>3.5</v>
      </c>
      <c r="I475">
        <v>59000</v>
      </c>
      <c r="J475" s="1" t="s">
        <v>835</v>
      </c>
    </row>
    <row r="476" spans="1:10" x14ac:dyDescent="0.25">
      <c r="A476" s="1" t="s">
        <v>498</v>
      </c>
      <c r="B476">
        <v>29</v>
      </c>
      <c r="C476" s="1" t="s">
        <v>11</v>
      </c>
      <c r="D476" s="1" t="s">
        <v>19</v>
      </c>
      <c r="E476" s="1" t="s">
        <v>26</v>
      </c>
      <c r="F476">
        <v>3</v>
      </c>
      <c r="G476">
        <v>7</v>
      </c>
      <c r="H476">
        <v>3.4</v>
      </c>
      <c r="I476">
        <v>62000</v>
      </c>
      <c r="J476" s="1" t="s">
        <v>835</v>
      </c>
    </row>
    <row r="477" spans="1:10" x14ac:dyDescent="0.25">
      <c r="A477" s="1" t="s">
        <v>499</v>
      </c>
      <c r="B477">
        <v>40</v>
      </c>
      <c r="C477" s="1" t="s">
        <v>15</v>
      </c>
      <c r="D477" s="1" t="s">
        <v>22</v>
      </c>
      <c r="E477" s="1" t="s">
        <v>23</v>
      </c>
      <c r="F477">
        <v>8</v>
      </c>
      <c r="G477">
        <v>6</v>
      </c>
      <c r="H477">
        <v>3.7</v>
      </c>
      <c r="I477">
        <v>48000</v>
      </c>
      <c r="J477" s="1" t="s">
        <v>835</v>
      </c>
    </row>
    <row r="478" spans="1:10" x14ac:dyDescent="0.25">
      <c r="A478" s="1" t="s">
        <v>500</v>
      </c>
      <c r="B478">
        <v>45</v>
      </c>
      <c r="C478" s="1" t="s">
        <v>11</v>
      </c>
      <c r="D478" s="1" t="s">
        <v>25</v>
      </c>
      <c r="E478" s="1" t="s">
        <v>26</v>
      </c>
      <c r="F478">
        <v>11</v>
      </c>
      <c r="G478">
        <v>7</v>
      </c>
      <c r="H478">
        <v>4.0999999999999996</v>
      </c>
      <c r="I478">
        <v>57000</v>
      </c>
      <c r="J478" s="1" t="s">
        <v>835</v>
      </c>
    </row>
    <row r="479" spans="1:10" x14ac:dyDescent="0.25">
      <c r="A479" s="1" t="s">
        <v>501</v>
      </c>
      <c r="B479">
        <v>32</v>
      </c>
      <c r="C479" s="1" t="s">
        <v>15</v>
      </c>
      <c r="D479" s="1" t="s">
        <v>19</v>
      </c>
      <c r="E479" s="1" t="s">
        <v>26</v>
      </c>
      <c r="F479">
        <v>4</v>
      </c>
      <c r="G479">
        <v>5</v>
      </c>
      <c r="H479">
        <v>3.8</v>
      </c>
      <c r="I479">
        <v>70000</v>
      </c>
      <c r="J479" s="1" t="s">
        <v>835</v>
      </c>
    </row>
    <row r="480" spans="1:10" x14ac:dyDescent="0.25">
      <c r="A480" s="1" t="s">
        <v>502</v>
      </c>
      <c r="B480">
        <v>29</v>
      </c>
      <c r="C480" s="1" t="s">
        <v>11</v>
      </c>
      <c r="D480" s="1" t="s">
        <v>22</v>
      </c>
      <c r="E480" s="1" t="s">
        <v>23</v>
      </c>
      <c r="F480">
        <v>4</v>
      </c>
      <c r="G480">
        <v>6</v>
      </c>
      <c r="H480">
        <v>3.5</v>
      </c>
      <c r="I480">
        <v>75000</v>
      </c>
      <c r="J480" s="1" t="s">
        <v>835</v>
      </c>
    </row>
    <row r="481" spans="1:10" x14ac:dyDescent="0.25">
      <c r="A481" s="1" t="s">
        <v>503</v>
      </c>
      <c r="B481">
        <v>33</v>
      </c>
      <c r="C481" s="1" t="s">
        <v>15</v>
      </c>
      <c r="D481" s="1" t="s">
        <v>28</v>
      </c>
      <c r="E481" s="1" t="s">
        <v>20</v>
      </c>
      <c r="F481">
        <v>6</v>
      </c>
      <c r="G481">
        <v>6</v>
      </c>
      <c r="H481">
        <v>3.8</v>
      </c>
      <c r="I481">
        <v>42000</v>
      </c>
      <c r="J481" s="1" t="s">
        <v>835</v>
      </c>
    </row>
    <row r="482" spans="1:10" x14ac:dyDescent="0.25">
      <c r="A482" s="1" t="s">
        <v>504</v>
      </c>
      <c r="B482">
        <v>37</v>
      </c>
      <c r="C482" s="1" t="s">
        <v>11</v>
      </c>
      <c r="D482" s="1" t="s">
        <v>16</v>
      </c>
      <c r="E482" s="1" t="s">
        <v>23</v>
      </c>
      <c r="F482">
        <v>7</v>
      </c>
      <c r="G482">
        <v>7</v>
      </c>
      <c r="H482">
        <v>4.3</v>
      </c>
      <c r="I482">
        <v>76000</v>
      </c>
      <c r="J482" s="1" t="s">
        <v>835</v>
      </c>
    </row>
    <row r="483" spans="1:10" x14ac:dyDescent="0.25">
      <c r="A483" s="1" t="s">
        <v>505</v>
      </c>
      <c r="B483">
        <v>28</v>
      </c>
      <c r="C483" s="1" t="s">
        <v>15</v>
      </c>
      <c r="D483" s="1" t="s">
        <v>12</v>
      </c>
      <c r="E483" s="1" t="s">
        <v>13</v>
      </c>
      <c r="F483">
        <v>2</v>
      </c>
      <c r="G483">
        <v>5</v>
      </c>
      <c r="H483">
        <v>3.2</v>
      </c>
      <c r="I483">
        <v>58000</v>
      </c>
      <c r="J483" s="1" t="s">
        <v>835</v>
      </c>
    </row>
    <row r="484" spans="1:10" x14ac:dyDescent="0.25">
      <c r="A484" s="1" t="s">
        <v>506</v>
      </c>
      <c r="B484">
        <v>34</v>
      </c>
      <c r="C484" s="1" t="s">
        <v>11</v>
      </c>
      <c r="D484" s="1" t="s">
        <v>22</v>
      </c>
      <c r="E484" s="1" t="s">
        <v>23</v>
      </c>
      <c r="F484">
        <v>6</v>
      </c>
      <c r="G484">
        <v>6</v>
      </c>
      <c r="H484">
        <v>3.7</v>
      </c>
      <c r="I484">
        <v>70000</v>
      </c>
      <c r="J484" s="1" t="s">
        <v>835</v>
      </c>
    </row>
    <row r="485" spans="1:10" x14ac:dyDescent="0.25">
      <c r="A485" s="1" t="s">
        <v>507</v>
      </c>
      <c r="B485">
        <v>36</v>
      </c>
      <c r="C485" s="1" t="s">
        <v>15</v>
      </c>
      <c r="D485" s="1" t="s">
        <v>28</v>
      </c>
      <c r="E485" s="1" t="s">
        <v>20</v>
      </c>
      <c r="F485">
        <v>8</v>
      </c>
      <c r="G485">
        <v>7</v>
      </c>
      <c r="H485">
        <v>4</v>
      </c>
      <c r="I485">
        <v>60000</v>
      </c>
      <c r="J485" s="1" t="s">
        <v>835</v>
      </c>
    </row>
    <row r="486" spans="1:10" x14ac:dyDescent="0.25">
      <c r="A486" s="1" t="s">
        <v>508</v>
      </c>
      <c r="B486">
        <v>30</v>
      </c>
      <c r="C486" s="1" t="s">
        <v>11</v>
      </c>
      <c r="D486" s="1" t="s">
        <v>12</v>
      </c>
      <c r="E486" s="1" t="s">
        <v>17</v>
      </c>
      <c r="F486">
        <v>5</v>
      </c>
      <c r="G486">
        <v>6</v>
      </c>
      <c r="H486">
        <v>3.9</v>
      </c>
      <c r="I486">
        <v>65000</v>
      </c>
      <c r="J486" s="1" t="s">
        <v>834</v>
      </c>
    </row>
    <row r="487" spans="1:10" x14ac:dyDescent="0.25">
      <c r="A487" s="1" t="s">
        <v>509</v>
      </c>
      <c r="B487">
        <v>31</v>
      </c>
      <c r="C487" s="1" t="s">
        <v>15</v>
      </c>
      <c r="D487" s="1" t="s">
        <v>16</v>
      </c>
      <c r="E487" s="1" t="s">
        <v>23</v>
      </c>
      <c r="F487">
        <v>4</v>
      </c>
      <c r="G487">
        <v>5</v>
      </c>
      <c r="H487">
        <v>3.5</v>
      </c>
      <c r="I487">
        <v>59000</v>
      </c>
      <c r="J487" s="1" t="s">
        <v>834</v>
      </c>
    </row>
    <row r="488" spans="1:10" x14ac:dyDescent="0.25">
      <c r="A488" s="1" t="s">
        <v>510</v>
      </c>
      <c r="B488">
        <v>29</v>
      </c>
      <c r="C488" s="1" t="s">
        <v>11</v>
      </c>
      <c r="D488" s="1" t="s">
        <v>19</v>
      </c>
      <c r="E488" s="1" t="s">
        <v>26</v>
      </c>
      <c r="F488">
        <v>3</v>
      </c>
      <c r="G488">
        <v>7</v>
      </c>
      <c r="H488">
        <v>3.4</v>
      </c>
      <c r="I488">
        <v>62000</v>
      </c>
      <c r="J488" s="1" t="s">
        <v>834</v>
      </c>
    </row>
    <row r="489" spans="1:10" x14ac:dyDescent="0.25">
      <c r="A489" s="1" t="s">
        <v>511</v>
      </c>
      <c r="B489">
        <v>40</v>
      </c>
      <c r="C489" s="1" t="s">
        <v>15</v>
      </c>
      <c r="D489" s="1" t="s">
        <v>22</v>
      </c>
      <c r="E489" s="1" t="s">
        <v>23</v>
      </c>
      <c r="F489">
        <v>8</v>
      </c>
      <c r="G489">
        <v>6</v>
      </c>
      <c r="H489">
        <v>3.7</v>
      </c>
      <c r="I489">
        <v>48000</v>
      </c>
      <c r="J489" s="1" t="s">
        <v>834</v>
      </c>
    </row>
    <row r="490" spans="1:10" x14ac:dyDescent="0.25">
      <c r="A490" s="1" t="s">
        <v>512</v>
      </c>
      <c r="B490">
        <v>45</v>
      </c>
      <c r="C490" s="1" t="s">
        <v>11</v>
      </c>
      <c r="D490" s="1" t="s">
        <v>25</v>
      </c>
      <c r="E490" s="1" t="s">
        <v>26</v>
      </c>
      <c r="F490">
        <v>11</v>
      </c>
      <c r="G490">
        <v>7</v>
      </c>
      <c r="H490">
        <v>4.0999999999999996</v>
      </c>
      <c r="I490">
        <v>57000</v>
      </c>
      <c r="J490" s="1" t="s">
        <v>834</v>
      </c>
    </row>
    <row r="491" spans="1:10" x14ac:dyDescent="0.25">
      <c r="A491" s="1" t="s">
        <v>513</v>
      </c>
      <c r="B491">
        <v>32</v>
      </c>
      <c r="C491" s="1" t="s">
        <v>15</v>
      </c>
      <c r="D491" s="1" t="s">
        <v>19</v>
      </c>
      <c r="E491" s="1" t="s">
        <v>26</v>
      </c>
      <c r="F491">
        <v>4</v>
      </c>
      <c r="G491">
        <v>5</v>
      </c>
      <c r="H491">
        <v>3.8</v>
      </c>
      <c r="I491">
        <v>70000</v>
      </c>
      <c r="J491" s="1" t="s">
        <v>834</v>
      </c>
    </row>
    <row r="492" spans="1:10" x14ac:dyDescent="0.25">
      <c r="A492" s="1" t="s">
        <v>514</v>
      </c>
      <c r="B492">
        <v>29</v>
      </c>
      <c r="C492" s="1" t="s">
        <v>11</v>
      </c>
      <c r="D492" s="1" t="s">
        <v>22</v>
      </c>
      <c r="E492" s="1" t="s">
        <v>23</v>
      </c>
      <c r="F492">
        <v>4</v>
      </c>
      <c r="G492">
        <v>6</v>
      </c>
      <c r="H492">
        <v>3.5</v>
      </c>
      <c r="I492">
        <v>75000</v>
      </c>
      <c r="J492" s="1" t="s">
        <v>834</v>
      </c>
    </row>
    <row r="493" spans="1:10" x14ac:dyDescent="0.25">
      <c r="A493" s="1" t="s">
        <v>515</v>
      </c>
      <c r="B493">
        <v>33</v>
      </c>
      <c r="C493" s="1" t="s">
        <v>15</v>
      </c>
      <c r="D493" s="1" t="s">
        <v>28</v>
      </c>
      <c r="E493" s="1" t="s">
        <v>20</v>
      </c>
      <c r="F493">
        <v>6</v>
      </c>
      <c r="G493">
        <v>6</v>
      </c>
      <c r="H493">
        <v>3.8</v>
      </c>
      <c r="I493">
        <v>42000</v>
      </c>
      <c r="J493" s="1" t="s">
        <v>834</v>
      </c>
    </row>
    <row r="494" spans="1:10" x14ac:dyDescent="0.25">
      <c r="A494" s="1" t="s">
        <v>516</v>
      </c>
      <c r="B494">
        <v>37</v>
      </c>
      <c r="C494" s="1" t="s">
        <v>11</v>
      </c>
      <c r="D494" s="1" t="s">
        <v>16</v>
      </c>
      <c r="E494" s="1" t="s">
        <v>23</v>
      </c>
      <c r="F494">
        <v>7</v>
      </c>
      <c r="G494">
        <v>7</v>
      </c>
      <c r="H494">
        <v>4.3</v>
      </c>
      <c r="I494">
        <v>76000</v>
      </c>
      <c r="J494" s="1" t="s">
        <v>834</v>
      </c>
    </row>
    <row r="495" spans="1:10" x14ac:dyDescent="0.25">
      <c r="A495" s="1" t="s">
        <v>517</v>
      </c>
      <c r="B495">
        <v>28</v>
      </c>
      <c r="C495" s="1" t="s">
        <v>15</v>
      </c>
      <c r="D495" s="1" t="s">
        <v>12</v>
      </c>
      <c r="E495" s="1" t="s">
        <v>13</v>
      </c>
      <c r="F495">
        <v>2</v>
      </c>
      <c r="G495">
        <v>5</v>
      </c>
      <c r="H495">
        <v>3.2</v>
      </c>
      <c r="I495">
        <v>58000</v>
      </c>
      <c r="J495" s="1" t="s">
        <v>834</v>
      </c>
    </row>
    <row r="496" spans="1:10" x14ac:dyDescent="0.25">
      <c r="A496" s="1" t="s">
        <v>518</v>
      </c>
      <c r="B496">
        <v>34</v>
      </c>
      <c r="C496" s="1" t="s">
        <v>11</v>
      </c>
      <c r="D496" s="1" t="s">
        <v>22</v>
      </c>
      <c r="E496" s="1" t="s">
        <v>23</v>
      </c>
      <c r="F496">
        <v>6</v>
      </c>
      <c r="G496">
        <v>6</v>
      </c>
      <c r="H496">
        <v>3.7</v>
      </c>
      <c r="I496">
        <v>70000</v>
      </c>
      <c r="J496" s="1" t="s">
        <v>834</v>
      </c>
    </row>
    <row r="497" spans="1:10" x14ac:dyDescent="0.25">
      <c r="A497" s="1" t="s">
        <v>519</v>
      </c>
      <c r="B497">
        <v>36</v>
      </c>
      <c r="C497" s="1" t="s">
        <v>15</v>
      </c>
      <c r="D497" s="1" t="s">
        <v>28</v>
      </c>
      <c r="E497" s="1" t="s">
        <v>20</v>
      </c>
      <c r="F497">
        <v>8</v>
      </c>
      <c r="G497">
        <v>7</v>
      </c>
      <c r="H497">
        <v>4</v>
      </c>
      <c r="I497">
        <v>60000</v>
      </c>
      <c r="J497" s="1" t="s">
        <v>834</v>
      </c>
    </row>
    <row r="498" spans="1:10" x14ac:dyDescent="0.25">
      <c r="A498" s="1" t="s">
        <v>520</v>
      </c>
      <c r="B498">
        <v>30</v>
      </c>
      <c r="C498" s="1" t="s">
        <v>11</v>
      </c>
      <c r="D498" s="1" t="s">
        <v>12</v>
      </c>
      <c r="E498" s="1" t="s">
        <v>17</v>
      </c>
      <c r="F498">
        <v>5</v>
      </c>
      <c r="G498">
        <v>6</v>
      </c>
      <c r="H498">
        <v>3.9</v>
      </c>
      <c r="I498">
        <v>65000</v>
      </c>
      <c r="J498" s="1" t="s">
        <v>834</v>
      </c>
    </row>
    <row r="499" spans="1:10" x14ac:dyDescent="0.25">
      <c r="A499" s="1" t="s">
        <v>521</v>
      </c>
      <c r="B499">
        <v>31</v>
      </c>
      <c r="C499" s="1" t="s">
        <v>15</v>
      </c>
      <c r="D499" s="1" t="s">
        <v>16</v>
      </c>
      <c r="E499" s="1" t="s">
        <v>23</v>
      </c>
      <c r="F499">
        <v>4</v>
      </c>
      <c r="G499">
        <v>5</v>
      </c>
      <c r="H499">
        <v>3.5</v>
      </c>
      <c r="I499">
        <v>59000</v>
      </c>
      <c r="J499" s="1" t="s">
        <v>834</v>
      </c>
    </row>
    <row r="500" spans="1:10" x14ac:dyDescent="0.25">
      <c r="A500" s="1" t="s">
        <v>522</v>
      </c>
      <c r="B500">
        <v>29</v>
      </c>
      <c r="C500" s="1" t="s">
        <v>11</v>
      </c>
      <c r="D500" s="1" t="s">
        <v>19</v>
      </c>
      <c r="E500" s="1" t="s">
        <v>26</v>
      </c>
      <c r="F500">
        <v>3</v>
      </c>
      <c r="G500">
        <v>7</v>
      </c>
      <c r="H500">
        <v>3.4</v>
      </c>
      <c r="I500">
        <v>62000</v>
      </c>
      <c r="J500" s="1" t="s">
        <v>834</v>
      </c>
    </row>
    <row r="501" spans="1:10" x14ac:dyDescent="0.25">
      <c r="A501" s="1" t="s">
        <v>523</v>
      </c>
      <c r="B501">
        <v>40</v>
      </c>
      <c r="C501" s="1" t="s">
        <v>15</v>
      </c>
      <c r="D501" s="1" t="s">
        <v>22</v>
      </c>
      <c r="E501" s="1" t="s">
        <v>23</v>
      </c>
      <c r="F501">
        <v>8</v>
      </c>
      <c r="G501">
        <v>6</v>
      </c>
      <c r="H501">
        <v>3.7</v>
      </c>
      <c r="I501">
        <v>48000</v>
      </c>
      <c r="J501" s="1" t="s">
        <v>834</v>
      </c>
    </row>
    <row r="502" spans="1:10" x14ac:dyDescent="0.25">
      <c r="A502" s="1" t="s">
        <v>524</v>
      </c>
      <c r="B502">
        <v>45</v>
      </c>
      <c r="C502" s="1" t="s">
        <v>11</v>
      </c>
      <c r="D502" s="1" t="s">
        <v>25</v>
      </c>
      <c r="E502" s="1" t="s">
        <v>26</v>
      </c>
      <c r="F502">
        <v>11</v>
      </c>
      <c r="G502">
        <v>7</v>
      </c>
      <c r="H502">
        <v>4.0999999999999996</v>
      </c>
      <c r="I502">
        <v>57000</v>
      </c>
      <c r="J502" s="1" t="s">
        <v>834</v>
      </c>
    </row>
    <row r="503" spans="1:10" x14ac:dyDescent="0.25">
      <c r="A503" s="1" t="s">
        <v>525</v>
      </c>
      <c r="B503">
        <v>32</v>
      </c>
      <c r="C503" s="1" t="s">
        <v>15</v>
      </c>
      <c r="D503" s="1" t="s">
        <v>19</v>
      </c>
      <c r="E503" s="1" t="s">
        <v>26</v>
      </c>
      <c r="F503">
        <v>4</v>
      </c>
      <c r="G503">
        <v>5</v>
      </c>
      <c r="H503">
        <v>3.8</v>
      </c>
      <c r="I503">
        <v>70000</v>
      </c>
      <c r="J503" s="1" t="s">
        <v>834</v>
      </c>
    </row>
    <row r="504" spans="1:10" x14ac:dyDescent="0.25">
      <c r="A504" s="1" t="s">
        <v>526</v>
      </c>
      <c r="B504">
        <v>29</v>
      </c>
      <c r="C504" s="1" t="s">
        <v>11</v>
      </c>
      <c r="D504" s="1" t="s">
        <v>22</v>
      </c>
      <c r="E504" s="1" t="s">
        <v>23</v>
      </c>
      <c r="F504">
        <v>4</v>
      </c>
      <c r="G504">
        <v>6</v>
      </c>
      <c r="H504">
        <v>3.5</v>
      </c>
      <c r="I504">
        <v>75000</v>
      </c>
      <c r="J504" s="1" t="s">
        <v>834</v>
      </c>
    </row>
    <row r="505" spans="1:10" x14ac:dyDescent="0.25">
      <c r="A505" s="1" t="s">
        <v>527</v>
      </c>
      <c r="B505">
        <v>33</v>
      </c>
      <c r="C505" s="1" t="s">
        <v>15</v>
      </c>
      <c r="D505" s="1" t="s">
        <v>28</v>
      </c>
      <c r="E505" s="1" t="s">
        <v>20</v>
      </c>
      <c r="F505">
        <v>6</v>
      </c>
      <c r="G505">
        <v>6</v>
      </c>
      <c r="H505">
        <v>3.8</v>
      </c>
      <c r="I505">
        <v>42000</v>
      </c>
      <c r="J505" s="1" t="s">
        <v>834</v>
      </c>
    </row>
    <row r="506" spans="1:10" x14ac:dyDescent="0.25">
      <c r="A506" s="1" t="s">
        <v>528</v>
      </c>
      <c r="B506">
        <v>37</v>
      </c>
      <c r="C506" s="1" t="s">
        <v>11</v>
      </c>
      <c r="D506" s="1" t="s">
        <v>16</v>
      </c>
      <c r="E506" s="1" t="s">
        <v>23</v>
      </c>
      <c r="F506">
        <v>7</v>
      </c>
      <c r="G506">
        <v>7</v>
      </c>
      <c r="H506">
        <v>4.3</v>
      </c>
      <c r="I506">
        <v>76000</v>
      </c>
      <c r="J506" s="1" t="s">
        <v>834</v>
      </c>
    </row>
    <row r="507" spans="1:10" x14ac:dyDescent="0.25">
      <c r="A507" s="1" t="s">
        <v>529</v>
      </c>
      <c r="B507">
        <v>28</v>
      </c>
      <c r="C507" s="1" t="s">
        <v>15</v>
      </c>
      <c r="D507" s="1" t="s">
        <v>12</v>
      </c>
      <c r="E507" s="1" t="s">
        <v>13</v>
      </c>
      <c r="F507">
        <v>2</v>
      </c>
      <c r="G507">
        <v>5</v>
      </c>
      <c r="H507">
        <v>3.2</v>
      </c>
      <c r="I507">
        <v>58000</v>
      </c>
      <c r="J507" s="1" t="s">
        <v>834</v>
      </c>
    </row>
    <row r="508" spans="1:10" x14ac:dyDescent="0.25">
      <c r="A508" s="1" t="s">
        <v>530</v>
      </c>
      <c r="B508">
        <v>34</v>
      </c>
      <c r="C508" s="1" t="s">
        <v>11</v>
      </c>
      <c r="D508" s="1" t="s">
        <v>22</v>
      </c>
      <c r="E508" s="1" t="s">
        <v>23</v>
      </c>
      <c r="F508">
        <v>6</v>
      </c>
      <c r="G508">
        <v>6</v>
      </c>
      <c r="H508">
        <v>3.7</v>
      </c>
      <c r="I508">
        <v>70000</v>
      </c>
      <c r="J508" s="1" t="s">
        <v>834</v>
      </c>
    </row>
    <row r="509" spans="1:10" x14ac:dyDescent="0.25">
      <c r="A509" s="1" t="s">
        <v>531</v>
      </c>
      <c r="B509">
        <v>36</v>
      </c>
      <c r="C509" s="1" t="s">
        <v>15</v>
      </c>
      <c r="D509" s="1" t="s">
        <v>28</v>
      </c>
      <c r="E509" s="1" t="s">
        <v>20</v>
      </c>
      <c r="F509">
        <v>8</v>
      </c>
      <c r="G509">
        <v>7</v>
      </c>
      <c r="H509">
        <v>4</v>
      </c>
      <c r="I509">
        <v>60000</v>
      </c>
      <c r="J509" s="1" t="s">
        <v>834</v>
      </c>
    </row>
    <row r="510" spans="1:10" x14ac:dyDescent="0.25">
      <c r="A510" s="1" t="s">
        <v>532</v>
      </c>
      <c r="B510">
        <v>30</v>
      </c>
      <c r="C510" s="1" t="s">
        <v>11</v>
      </c>
      <c r="D510" s="1" t="s">
        <v>12</v>
      </c>
      <c r="E510" s="1" t="s">
        <v>17</v>
      </c>
      <c r="F510">
        <v>5</v>
      </c>
      <c r="G510">
        <v>6</v>
      </c>
      <c r="H510">
        <v>3.9</v>
      </c>
      <c r="I510">
        <v>65000</v>
      </c>
      <c r="J510" s="1" t="s">
        <v>834</v>
      </c>
    </row>
    <row r="511" spans="1:10" x14ac:dyDescent="0.25">
      <c r="A511" s="1" t="s">
        <v>533</v>
      </c>
      <c r="B511">
        <v>31</v>
      </c>
      <c r="C511" s="1" t="s">
        <v>15</v>
      </c>
      <c r="D511" s="1" t="s">
        <v>16</v>
      </c>
      <c r="E511" s="1" t="s">
        <v>23</v>
      </c>
      <c r="F511">
        <v>4</v>
      </c>
      <c r="G511">
        <v>5</v>
      </c>
      <c r="H511">
        <v>3.5</v>
      </c>
      <c r="I511">
        <v>59000</v>
      </c>
      <c r="J511" s="1" t="s">
        <v>834</v>
      </c>
    </row>
    <row r="512" spans="1:10" x14ac:dyDescent="0.25">
      <c r="A512" s="1" t="s">
        <v>534</v>
      </c>
      <c r="B512">
        <v>29</v>
      </c>
      <c r="C512" s="1" t="s">
        <v>11</v>
      </c>
      <c r="D512" s="1" t="s">
        <v>19</v>
      </c>
      <c r="E512" s="1" t="s">
        <v>26</v>
      </c>
      <c r="F512">
        <v>3</v>
      </c>
      <c r="G512">
        <v>7</v>
      </c>
      <c r="H512">
        <v>3.4</v>
      </c>
      <c r="I512">
        <v>62000</v>
      </c>
      <c r="J512" s="1" t="s">
        <v>834</v>
      </c>
    </row>
    <row r="513" spans="1:10" x14ac:dyDescent="0.25">
      <c r="A513" s="1" t="s">
        <v>535</v>
      </c>
      <c r="B513">
        <v>40</v>
      </c>
      <c r="C513" s="1" t="s">
        <v>15</v>
      </c>
      <c r="D513" s="1" t="s">
        <v>22</v>
      </c>
      <c r="E513" s="1" t="s">
        <v>23</v>
      </c>
      <c r="F513">
        <v>8</v>
      </c>
      <c r="G513">
        <v>6</v>
      </c>
      <c r="H513">
        <v>3.7</v>
      </c>
      <c r="I513">
        <v>48000</v>
      </c>
      <c r="J513" s="1" t="s">
        <v>834</v>
      </c>
    </row>
    <row r="514" spans="1:10" x14ac:dyDescent="0.25">
      <c r="A514" s="1" t="s">
        <v>536</v>
      </c>
      <c r="B514">
        <v>45</v>
      </c>
      <c r="C514" s="1" t="s">
        <v>11</v>
      </c>
      <c r="D514" s="1" t="s">
        <v>25</v>
      </c>
      <c r="E514" s="1" t="s">
        <v>26</v>
      </c>
      <c r="F514">
        <v>11</v>
      </c>
      <c r="G514">
        <v>7</v>
      </c>
      <c r="H514">
        <v>4.0999999999999996</v>
      </c>
      <c r="I514">
        <v>57000</v>
      </c>
      <c r="J514" s="1" t="s">
        <v>834</v>
      </c>
    </row>
    <row r="515" spans="1:10" x14ac:dyDescent="0.25">
      <c r="A515" s="1" t="s">
        <v>537</v>
      </c>
      <c r="B515">
        <v>32</v>
      </c>
      <c r="C515" s="1" t="s">
        <v>15</v>
      </c>
      <c r="D515" s="1" t="s">
        <v>19</v>
      </c>
      <c r="E515" s="1" t="s">
        <v>26</v>
      </c>
      <c r="F515">
        <v>4</v>
      </c>
      <c r="G515">
        <v>5</v>
      </c>
      <c r="H515">
        <v>3.8</v>
      </c>
      <c r="I515">
        <v>70000</v>
      </c>
      <c r="J515" s="1" t="s">
        <v>834</v>
      </c>
    </row>
    <row r="516" spans="1:10" x14ac:dyDescent="0.25">
      <c r="A516" s="1" t="s">
        <v>538</v>
      </c>
      <c r="B516">
        <v>29</v>
      </c>
      <c r="C516" s="1" t="s">
        <v>11</v>
      </c>
      <c r="D516" s="1" t="s">
        <v>22</v>
      </c>
      <c r="E516" s="1" t="s">
        <v>23</v>
      </c>
      <c r="F516">
        <v>4</v>
      </c>
      <c r="G516">
        <v>6</v>
      </c>
      <c r="H516">
        <v>3.5</v>
      </c>
      <c r="I516">
        <v>75000</v>
      </c>
      <c r="J516" s="1" t="s">
        <v>834</v>
      </c>
    </row>
    <row r="517" spans="1:10" x14ac:dyDescent="0.25">
      <c r="A517" s="1" t="s">
        <v>539</v>
      </c>
      <c r="B517">
        <v>33</v>
      </c>
      <c r="C517" s="1" t="s">
        <v>15</v>
      </c>
      <c r="D517" s="1" t="s">
        <v>28</v>
      </c>
      <c r="E517" s="1" t="s">
        <v>20</v>
      </c>
      <c r="F517">
        <v>6</v>
      </c>
      <c r="G517">
        <v>6</v>
      </c>
      <c r="H517">
        <v>3.8</v>
      </c>
      <c r="I517">
        <v>42000</v>
      </c>
      <c r="J517" s="1" t="s">
        <v>834</v>
      </c>
    </row>
    <row r="518" spans="1:10" x14ac:dyDescent="0.25">
      <c r="A518" s="1" t="s">
        <v>540</v>
      </c>
      <c r="B518">
        <v>37</v>
      </c>
      <c r="C518" s="1" t="s">
        <v>11</v>
      </c>
      <c r="D518" s="1" t="s">
        <v>16</v>
      </c>
      <c r="E518" s="1" t="s">
        <v>23</v>
      </c>
      <c r="F518">
        <v>7</v>
      </c>
      <c r="G518">
        <v>7</v>
      </c>
      <c r="H518">
        <v>4.3</v>
      </c>
      <c r="I518">
        <v>76000</v>
      </c>
      <c r="J518" s="1" t="s">
        <v>834</v>
      </c>
    </row>
    <row r="519" spans="1:10" x14ac:dyDescent="0.25">
      <c r="A519" s="1" t="s">
        <v>541</v>
      </c>
      <c r="B519">
        <v>28</v>
      </c>
      <c r="C519" s="1" t="s">
        <v>15</v>
      </c>
      <c r="D519" s="1" t="s">
        <v>12</v>
      </c>
      <c r="E519" s="1" t="s">
        <v>13</v>
      </c>
      <c r="F519">
        <v>2</v>
      </c>
      <c r="G519">
        <v>5</v>
      </c>
      <c r="H519">
        <v>3.2</v>
      </c>
      <c r="I519">
        <v>58000</v>
      </c>
      <c r="J519" s="1" t="s">
        <v>834</v>
      </c>
    </row>
    <row r="520" spans="1:10" x14ac:dyDescent="0.25">
      <c r="A520" s="1" t="s">
        <v>542</v>
      </c>
      <c r="B520">
        <v>34</v>
      </c>
      <c r="C520" s="1" t="s">
        <v>11</v>
      </c>
      <c r="D520" s="1" t="s">
        <v>22</v>
      </c>
      <c r="E520" s="1" t="s">
        <v>23</v>
      </c>
      <c r="F520">
        <v>6</v>
      </c>
      <c r="G520">
        <v>6</v>
      </c>
      <c r="H520">
        <v>3.7</v>
      </c>
      <c r="I520">
        <v>70000</v>
      </c>
      <c r="J520" s="1" t="s">
        <v>834</v>
      </c>
    </row>
    <row r="521" spans="1:10" x14ac:dyDescent="0.25">
      <c r="A521" s="1" t="s">
        <v>543</v>
      </c>
      <c r="B521">
        <v>36</v>
      </c>
      <c r="C521" s="1" t="s">
        <v>15</v>
      </c>
      <c r="D521" s="1" t="s">
        <v>28</v>
      </c>
      <c r="E521" s="1" t="s">
        <v>20</v>
      </c>
      <c r="F521">
        <v>8</v>
      </c>
      <c r="G521">
        <v>7</v>
      </c>
      <c r="H521">
        <v>4</v>
      </c>
      <c r="I521">
        <v>60000</v>
      </c>
      <c r="J521" s="1" t="s">
        <v>834</v>
      </c>
    </row>
    <row r="522" spans="1:10" x14ac:dyDescent="0.25">
      <c r="A522" s="1" t="s">
        <v>544</v>
      </c>
      <c r="B522">
        <v>30</v>
      </c>
      <c r="C522" s="1" t="s">
        <v>11</v>
      </c>
      <c r="D522" s="1" t="s">
        <v>12</v>
      </c>
      <c r="E522" s="1" t="s">
        <v>17</v>
      </c>
      <c r="F522">
        <v>5</v>
      </c>
      <c r="G522">
        <v>6</v>
      </c>
      <c r="H522">
        <v>3.9</v>
      </c>
      <c r="I522">
        <v>65000</v>
      </c>
      <c r="J522" s="1" t="s">
        <v>834</v>
      </c>
    </row>
    <row r="523" spans="1:10" x14ac:dyDescent="0.25">
      <c r="A523" s="1" t="s">
        <v>545</v>
      </c>
      <c r="B523">
        <v>31</v>
      </c>
      <c r="C523" s="1" t="s">
        <v>15</v>
      </c>
      <c r="D523" s="1" t="s">
        <v>16</v>
      </c>
      <c r="E523" s="1" t="s">
        <v>23</v>
      </c>
      <c r="F523">
        <v>4</v>
      </c>
      <c r="G523">
        <v>5</v>
      </c>
      <c r="H523">
        <v>3.5</v>
      </c>
      <c r="I523">
        <v>59000</v>
      </c>
      <c r="J523" s="1" t="s">
        <v>834</v>
      </c>
    </row>
    <row r="524" spans="1:10" x14ac:dyDescent="0.25">
      <c r="A524" s="1" t="s">
        <v>546</v>
      </c>
      <c r="B524">
        <v>29</v>
      </c>
      <c r="C524" s="1" t="s">
        <v>11</v>
      </c>
      <c r="D524" s="1" t="s">
        <v>19</v>
      </c>
      <c r="E524" s="1" t="s">
        <v>26</v>
      </c>
      <c r="F524">
        <v>3</v>
      </c>
      <c r="G524">
        <v>7</v>
      </c>
      <c r="H524">
        <v>3.4</v>
      </c>
      <c r="I524">
        <v>62000</v>
      </c>
      <c r="J524" s="1" t="s">
        <v>834</v>
      </c>
    </row>
    <row r="525" spans="1:10" x14ac:dyDescent="0.25">
      <c r="A525" s="1" t="s">
        <v>547</v>
      </c>
      <c r="B525">
        <v>40</v>
      </c>
      <c r="C525" s="1" t="s">
        <v>15</v>
      </c>
      <c r="D525" s="1" t="s">
        <v>22</v>
      </c>
      <c r="E525" s="1" t="s">
        <v>23</v>
      </c>
      <c r="F525">
        <v>8</v>
      </c>
      <c r="G525">
        <v>6</v>
      </c>
      <c r="H525">
        <v>3.7</v>
      </c>
      <c r="I525">
        <v>48000</v>
      </c>
      <c r="J525" s="1" t="s">
        <v>834</v>
      </c>
    </row>
    <row r="526" spans="1:10" x14ac:dyDescent="0.25">
      <c r="A526" s="1" t="s">
        <v>548</v>
      </c>
      <c r="B526">
        <v>45</v>
      </c>
      <c r="C526" s="1" t="s">
        <v>11</v>
      </c>
      <c r="D526" s="1" t="s">
        <v>25</v>
      </c>
      <c r="E526" s="1" t="s">
        <v>26</v>
      </c>
      <c r="F526">
        <v>11</v>
      </c>
      <c r="G526">
        <v>7</v>
      </c>
      <c r="H526">
        <v>4.0999999999999996</v>
      </c>
      <c r="I526">
        <v>57000</v>
      </c>
      <c r="J526" s="1" t="s">
        <v>834</v>
      </c>
    </row>
    <row r="527" spans="1:10" x14ac:dyDescent="0.25">
      <c r="A527" s="1" t="s">
        <v>549</v>
      </c>
      <c r="B527">
        <v>32</v>
      </c>
      <c r="C527" s="1" t="s">
        <v>15</v>
      </c>
      <c r="D527" s="1" t="s">
        <v>19</v>
      </c>
      <c r="E527" s="1" t="s">
        <v>26</v>
      </c>
      <c r="F527">
        <v>4</v>
      </c>
      <c r="G527">
        <v>5</v>
      </c>
      <c r="H527">
        <v>3.8</v>
      </c>
      <c r="I527">
        <v>70000</v>
      </c>
      <c r="J527" s="1" t="s">
        <v>834</v>
      </c>
    </row>
    <row r="528" spans="1:10" x14ac:dyDescent="0.25">
      <c r="A528" s="1" t="s">
        <v>550</v>
      </c>
      <c r="B528">
        <v>29</v>
      </c>
      <c r="C528" s="1" t="s">
        <v>11</v>
      </c>
      <c r="D528" s="1" t="s">
        <v>22</v>
      </c>
      <c r="E528" s="1" t="s">
        <v>23</v>
      </c>
      <c r="F528">
        <v>4</v>
      </c>
      <c r="G528">
        <v>6</v>
      </c>
      <c r="H528">
        <v>3.5</v>
      </c>
      <c r="I528">
        <v>75000</v>
      </c>
      <c r="J528" s="1" t="s">
        <v>834</v>
      </c>
    </row>
    <row r="529" spans="1:10" x14ac:dyDescent="0.25">
      <c r="A529" s="1" t="s">
        <v>551</v>
      </c>
      <c r="B529">
        <v>33</v>
      </c>
      <c r="C529" s="1" t="s">
        <v>15</v>
      </c>
      <c r="D529" s="1" t="s">
        <v>28</v>
      </c>
      <c r="E529" s="1" t="s">
        <v>20</v>
      </c>
      <c r="F529">
        <v>6</v>
      </c>
      <c r="G529">
        <v>6</v>
      </c>
      <c r="H529">
        <v>3.8</v>
      </c>
      <c r="I529">
        <v>42000</v>
      </c>
      <c r="J529" s="1" t="s">
        <v>834</v>
      </c>
    </row>
    <row r="530" spans="1:10" x14ac:dyDescent="0.25">
      <c r="A530" s="1" t="s">
        <v>552</v>
      </c>
      <c r="B530">
        <v>37</v>
      </c>
      <c r="C530" s="1" t="s">
        <v>11</v>
      </c>
      <c r="D530" s="1" t="s">
        <v>16</v>
      </c>
      <c r="E530" s="1" t="s">
        <v>23</v>
      </c>
      <c r="F530">
        <v>7</v>
      </c>
      <c r="G530">
        <v>7</v>
      </c>
      <c r="H530">
        <v>4.3</v>
      </c>
      <c r="I530">
        <v>76000</v>
      </c>
      <c r="J530" s="1" t="s">
        <v>834</v>
      </c>
    </row>
    <row r="531" spans="1:10" x14ac:dyDescent="0.25">
      <c r="A531" s="1" t="s">
        <v>553</v>
      </c>
      <c r="B531">
        <v>28</v>
      </c>
      <c r="C531" s="1" t="s">
        <v>15</v>
      </c>
      <c r="D531" s="1" t="s">
        <v>12</v>
      </c>
      <c r="E531" s="1" t="s">
        <v>13</v>
      </c>
      <c r="F531">
        <v>2</v>
      </c>
      <c r="G531">
        <v>5</v>
      </c>
      <c r="H531">
        <v>3.2</v>
      </c>
      <c r="I531">
        <v>58000</v>
      </c>
      <c r="J531" s="1" t="s">
        <v>834</v>
      </c>
    </row>
    <row r="532" spans="1:10" x14ac:dyDescent="0.25">
      <c r="A532" s="1" t="s">
        <v>554</v>
      </c>
      <c r="B532">
        <v>33</v>
      </c>
      <c r="C532" s="1" t="s">
        <v>11</v>
      </c>
      <c r="D532" s="1" t="s">
        <v>12</v>
      </c>
      <c r="E532" s="1" t="s">
        <v>13</v>
      </c>
      <c r="F532">
        <v>4</v>
      </c>
      <c r="G532">
        <v>5</v>
      </c>
      <c r="H532">
        <v>3.6</v>
      </c>
      <c r="I532">
        <v>60000</v>
      </c>
      <c r="J532" s="1" t="s">
        <v>835</v>
      </c>
    </row>
    <row r="533" spans="1:10" x14ac:dyDescent="0.25">
      <c r="A533" s="1" t="s">
        <v>555</v>
      </c>
      <c r="B533">
        <v>35</v>
      </c>
      <c r="C533" s="1" t="s">
        <v>15</v>
      </c>
      <c r="D533" s="1" t="s">
        <v>19</v>
      </c>
      <c r="E533" s="1" t="s">
        <v>26</v>
      </c>
      <c r="F533">
        <v>7</v>
      </c>
      <c r="G533">
        <v>5</v>
      </c>
      <c r="H533">
        <v>3.5</v>
      </c>
      <c r="I533">
        <v>58000</v>
      </c>
      <c r="J533" s="1" t="s">
        <v>834</v>
      </c>
    </row>
    <row r="534" spans="1:10" x14ac:dyDescent="0.25">
      <c r="A534" s="1" t="s">
        <v>556</v>
      </c>
      <c r="B534">
        <v>28</v>
      </c>
      <c r="C534" s="1" t="s">
        <v>11</v>
      </c>
      <c r="D534" s="1" t="s">
        <v>16</v>
      </c>
      <c r="E534" s="1" t="s">
        <v>23</v>
      </c>
      <c r="F534">
        <v>3</v>
      </c>
      <c r="G534">
        <v>5</v>
      </c>
      <c r="H534">
        <v>3.8</v>
      </c>
      <c r="I534">
        <v>70000</v>
      </c>
      <c r="J534" s="1" t="s">
        <v>835</v>
      </c>
    </row>
    <row r="535" spans="1:10" x14ac:dyDescent="0.25">
      <c r="A535" s="1" t="s">
        <v>557</v>
      </c>
      <c r="B535">
        <v>39</v>
      </c>
      <c r="C535" s="1" t="s">
        <v>15</v>
      </c>
      <c r="D535" s="1" t="s">
        <v>22</v>
      </c>
      <c r="E535" s="1" t="s">
        <v>23</v>
      </c>
      <c r="F535">
        <v>9</v>
      </c>
      <c r="G535">
        <v>5</v>
      </c>
      <c r="H535">
        <v>3.4</v>
      </c>
      <c r="I535">
        <v>75000</v>
      </c>
      <c r="J535" s="1" t="s">
        <v>834</v>
      </c>
    </row>
    <row r="536" spans="1:10" x14ac:dyDescent="0.25">
      <c r="A536" s="1" t="s">
        <v>558</v>
      </c>
      <c r="B536">
        <v>40</v>
      </c>
      <c r="C536" s="1" t="s">
        <v>11</v>
      </c>
      <c r="D536" s="1" t="s">
        <v>25</v>
      </c>
      <c r="E536" s="1" t="s">
        <v>26</v>
      </c>
      <c r="F536">
        <v>10</v>
      </c>
      <c r="G536">
        <v>5</v>
      </c>
      <c r="H536">
        <v>4.0999999999999996</v>
      </c>
      <c r="I536">
        <v>65000</v>
      </c>
      <c r="J536" s="1" t="s">
        <v>835</v>
      </c>
    </row>
    <row r="537" spans="1:10" x14ac:dyDescent="0.25">
      <c r="A537" s="1" t="s">
        <v>559</v>
      </c>
      <c r="B537">
        <v>27</v>
      </c>
      <c r="C537" s="1" t="s">
        <v>15</v>
      </c>
      <c r="D537" s="1" t="s">
        <v>28</v>
      </c>
      <c r="E537" s="1" t="s">
        <v>20</v>
      </c>
      <c r="F537">
        <v>2</v>
      </c>
      <c r="G537">
        <v>5</v>
      </c>
      <c r="H537">
        <v>3.7</v>
      </c>
      <c r="I537">
        <v>60000</v>
      </c>
      <c r="J537" s="1" t="s">
        <v>834</v>
      </c>
    </row>
    <row r="538" spans="1:10" x14ac:dyDescent="0.25">
      <c r="A538" s="1" t="s">
        <v>560</v>
      </c>
      <c r="B538">
        <v>42</v>
      </c>
      <c r="C538" s="1" t="s">
        <v>11</v>
      </c>
      <c r="D538" s="1" t="s">
        <v>12</v>
      </c>
      <c r="E538" s="1" t="s">
        <v>17</v>
      </c>
      <c r="F538">
        <v>11</v>
      </c>
      <c r="G538">
        <v>5</v>
      </c>
      <c r="H538">
        <v>4</v>
      </c>
      <c r="I538">
        <v>64000</v>
      </c>
      <c r="J538" s="1" t="s">
        <v>835</v>
      </c>
    </row>
    <row r="539" spans="1:10" x14ac:dyDescent="0.25">
      <c r="A539" s="1" t="s">
        <v>561</v>
      </c>
      <c r="B539">
        <v>29</v>
      </c>
      <c r="C539" s="1" t="s">
        <v>15</v>
      </c>
      <c r="D539" s="1" t="s">
        <v>19</v>
      </c>
      <c r="E539" s="1" t="s">
        <v>26</v>
      </c>
      <c r="F539">
        <v>3</v>
      </c>
      <c r="G539">
        <v>5</v>
      </c>
      <c r="H539">
        <v>3.9</v>
      </c>
      <c r="I539">
        <v>61000</v>
      </c>
      <c r="J539" s="1" t="s">
        <v>834</v>
      </c>
    </row>
    <row r="540" spans="1:10" x14ac:dyDescent="0.25">
      <c r="A540" s="1" t="s">
        <v>562</v>
      </c>
      <c r="B540">
        <v>31</v>
      </c>
      <c r="C540" s="1" t="s">
        <v>11</v>
      </c>
      <c r="D540" s="1" t="s">
        <v>22</v>
      </c>
      <c r="E540" s="1" t="s">
        <v>23</v>
      </c>
      <c r="F540">
        <v>5</v>
      </c>
      <c r="G540">
        <v>5</v>
      </c>
      <c r="H540">
        <v>3.5</v>
      </c>
      <c r="I540">
        <v>59000</v>
      </c>
      <c r="J540" s="1" t="s">
        <v>835</v>
      </c>
    </row>
    <row r="541" spans="1:10" x14ac:dyDescent="0.25">
      <c r="A541" s="1" t="s">
        <v>563</v>
      </c>
      <c r="B541">
        <v>33</v>
      </c>
      <c r="C541" s="1" t="s">
        <v>15</v>
      </c>
      <c r="D541" s="1" t="s">
        <v>28</v>
      </c>
      <c r="E541" s="1" t="s">
        <v>20</v>
      </c>
      <c r="F541">
        <v>6</v>
      </c>
      <c r="G541">
        <v>5</v>
      </c>
      <c r="H541">
        <v>3.8</v>
      </c>
      <c r="I541">
        <v>61000</v>
      </c>
      <c r="J541" s="1" t="s">
        <v>834</v>
      </c>
    </row>
    <row r="542" spans="1:10" x14ac:dyDescent="0.25">
      <c r="A542" s="1" t="s">
        <v>564</v>
      </c>
      <c r="B542">
        <v>37</v>
      </c>
      <c r="C542" s="1" t="s">
        <v>11</v>
      </c>
      <c r="D542" s="1" t="s">
        <v>16</v>
      </c>
      <c r="E542" s="1" t="s">
        <v>23</v>
      </c>
      <c r="F542">
        <v>7</v>
      </c>
      <c r="G542">
        <v>5</v>
      </c>
      <c r="H542">
        <v>4.3</v>
      </c>
      <c r="I542">
        <v>76000</v>
      </c>
      <c r="J542" s="1" t="s">
        <v>835</v>
      </c>
    </row>
    <row r="543" spans="1:10" x14ac:dyDescent="0.25">
      <c r="A543" s="1" t="s">
        <v>565</v>
      </c>
      <c r="B543">
        <v>28</v>
      </c>
      <c r="C543" s="1" t="s">
        <v>15</v>
      </c>
      <c r="D543" s="1" t="s">
        <v>12</v>
      </c>
      <c r="E543" s="1" t="s">
        <v>13</v>
      </c>
      <c r="F543">
        <v>2</v>
      </c>
      <c r="G543">
        <v>5</v>
      </c>
      <c r="H543">
        <v>3.2</v>
      </c>
      <c r="I543">
        <v>58000</v>
      </c>
      <c r="J543" s="1" t="s">
        <v>834</v>
      </c>
    </row>
    <row r="544" spans="1:10" x14ac:dyDescent="0.25">
      <c r="A544" s="1" t="s">
        <v>566</v>
      </c>
      <c r="B544">
        <v>34</v>
      </c>
      <c r="C544" s="1" t="s">
        <v>11</v>
      </c>
      <c r="D544" s="1" t="s">
        <v>22</v>
      </c>
      <c r="E544" s="1" t="s">
        <v>23</v>
      </c>
      <c r="F544">
        <v>6</v>
      </c>
      <c r="G544">
        <v>5</v>
      </c>
      <c r="H544">
        <v>3.7</v>
      </c>
      <c r="I544">
        <v>70000</v>
      </c>
      <c r="J544" s="1" t="s">
        <v>835</v>
      </c>
    </row>
    <row r="545" spans="1:10" x14ac:dyDescent="0.25">
      <c r="A545" s="1" t="s">
        <v>567</v>
      </c>
      <c r="B545">
        <v>36</v>
      </c>
      <c r="C545" s="1" t="s">
        <v>15</v>
      </c>
      <c r="D545" s="1" t="s">
        <v>28</v>
      </c>
      <c r="E545" s="1" t="s">
        <v>20</v>
      </c>
      <c r="F545">
        <v>8</v>
      </c>
      <c r="G545">
        <v>5</v>
      </c>
      <c r="H545">
        <v>4</v>
      </c>
      <c r="I545">
        <v>60000</v>
      </c>
      <c r="J545" s="1" t="s">
        <v>834</v>
      </c>
    </row>
    <row r="546" spans="1:10" x14ac:dyDescent="0.25">
      <c r="A546" s="1" t="s">
        <v>568</v>
      </c>
      <c r="B546">
        <v>30</v>
      </c>
      <c r="C546" s="1" t="s">
        <v>11</v>
      </c>
      <c r="D546" s="1" t="s">
        <v>12</v>
      </c>
      <c r="E546" s="1" t="s">
        <v>17</v>
      </c>
      <c r="F546">
        <v>5</v>
      </c>
      <c r="G546">
        <v>5</v>
      </c>
      <c r="H546">
        <v>3.9</v>
      </c>
      <c r="I546">
        <v>70000</v>
      </c>
      <c r="J546" s="1" t="s">
        <v>835</v>
      </c>
    </row>
    <row r="547" spans="1:10" x14ac:dyDescent="0.25">
      <c r="A547" s="1" t="s">
        <v>569</v>
      </c>
      <c r="B547">
        <v>31</v>
      </c>
      <c r="C547" s="1" t="s">
        <v>15</v>
      </c>
      <c r="D547" s="1" t="s">
        <v>16</v>
      </c>
      <c r="E547" s="1" t="s">
        <v>23</v>
      </c>
      <c r="F547">
        <v>4</v>
      </c>
      <c r="G547">
        <v>5</v>
      </c>
      <c r="H547">
        <v>3.5</v>
      </c>
      <c r="I547">
        <v>75000</v>
      </c>
      <c r="J547" s="1" t="s">
        <v>834</v>
      </c>
    </row>
    <row r="548" spans="1:10" x14ac:dyDescent="0.25">
      <c r="A548" s="1" t="s">
        <v>570</v>
      </c>
      <c r="B548">
        <v>29</v>
      </c>
      <c r="C548" s="1" t="s">
        <v>11</v>
      </c>
      <c r="D548" s="1" t="s">
        <v>19</v>
      </c>
      <c r="E548" s="1" t="s">
        <v>26</v>
      </c>
      <c r="F548">
        <v>3</v>
      </c>
      <c r="G548">
        <v>5</v>
      </c>
      <c r="H548">
        <v>3.4</v>
      </c>
      <c r="I548">
        <v>59000</v>
      </c>
      <c r="J548" s="1" t="s">
        <v>835</v>
      </c>
    </row>
    <row r="549" spans="1:10" x14ac:dyDescent="0.25">
      <c r="A549" s="1" t="s">
        <v>571</v>
      </c>
      <c r="B549">
        <v>40</v>
      </c>
      <c r="C549" s="1" t="s">
        <v>15</v>
      </c>
      <c r="D549" s="1" t="s">
        <v>22</v>
      </c>
      <c r="E549" s="1" t="s">
        <v>23</v>
      </c>
      <c r="F549">
        <v>8</v>
      </c>
      <c r="G549">
        <v>5</v>
      </c>
      <c r="H549">
        <v>3.7</v>
      </c>
      <c r="I549">
        <v>70000</v>
      </c>
      <c r="J549" s="1" t="s">
        <v>834</v>
      </c>
    </row>
    <row r="550" spans="1:10" x14ac:dyDescent="0.25">
      <c r="A550" s="1" t="s">
        <v>572</v>
      </c>
      <c r="B550">
        <v>45</v>
      </c>
      <c r="C550" s="1" t="s">
        <v>11</v>
      </c>
      <c r="D550" s="1" t="s">
        <v>25</v>
      </c>
      <c r="E550" s="1" t="s">
        <v>26</v>
      </c>
      <c r="F550">
        <v>11</v>
      </c>
      <c r="G550">
        <v>5</v>
      </c>
      <c r="H550">
        <v>4.0999999999999996</v>
      </c>
      <c r="I550">
        <v>59000</v>
      </c>
      <c r="J550" s="1" t="s">
        <v>835</v>
      </c>
    </row>
    <row r="551" spans="1:10" x14ac:dyDescent="0.25">
      <c r="A551" s="1" t="s">
        <v>573</v>
      </c>
      <c r="B551">
        <v>32</v>
      </c>
      <c r="C551" s="1" t="s">
        <v>15</v>
      </c>
      <c r="D551" s="1" t="s">
        <v>19</v>
      </c>
      <c r="E551" s="1" t="s">
        <v>26</v>
      </c>
      <c r="F551">
        <v>4</v>
      </c>
      <c r="G551">
        <v>5</v>
      </c>
      <c r="H551">
        <v>3.8</v>
      </c>
      <c r="I551">
        <v>73000</v>
      </c>
      <c r="J551" s="1" t="s">
        <v>834</v>
      </c>
    </row>
    <row r="552" spans="1:10" x14ac:dyDescent="0.25">
      <c r="A552" s="1" t="s">
        <v>574</v>
      </c>
      <c r="B552">
        <v>29</v>
      </c>
      <c r="C552" s="1" t="s">
        <v>11</v>
      </c>
      <c r="D552" s="1" t="s">
        <v>22</v>
      </c>
      <c r="E552" s="1" t="s">
        <v>23</v>
      </c>
      <c r="F552">
        <v>4</v>
      </c>
      <c r="G552">
        <v>5</v>
      </c>
      <c r="H552">
        <v>3.5</v>
      </c>
      <c r="I552">
        <v>75000</v>
      </c>
      <c r="J552" s="1" t="s">
        <v>835</v>
      </c>
    </row>
    <row r="553" spans="1:10" x14ac:dyDescent="0.25">
      <c r="A553" s="1" t="s">
        <v>575</v>
      </c>
      <c r="B553">
        <v>33</v>
      </c>
      <c r="C553" s="1" t="s">
        <v>15</v>
      </c>
      <c r="D553" s="1" t="s">
        <v>28</v>
      </c>
      <c r="E553" s="1" t="s">
        <v>20</v>
      </c>
      <c r="F553">
        <v>6</v>
      </c>
      <c r="G553">
        <v>5</v>
      </c>
      <c r="H553">
        <v>3.8</v>
      </c>
      <c r="I553">
        <v>42000</v>
      </c>
      <c r="J553" s="1" t="s">
        <v>834</v>
      </c>
    </row>
    <row r="554" spans="1:10" x14ac:dyDescent="0.25">
      <c r="A554" s="1" t="s">
        <v>576</v>
      </c>
      <c r="B554">
        <v>37</v>
      </c>
      <c r="C554" s="1" t="s">
        <v>11</v>
      </c>
      <c r="D554" s="1" t="s">
        <v>16</v>
      </c>
      <c r="E554" s="1" t="s">
        <v>23</v>
      </c>
      <c r="F554">
        <v>7</v>
      </c>
      <c r="G554">
        <v>5</v>
      </c>
      <c r="H554">
        <v>4.3</v>
      </c>
      <c r="I554">
        <v>76000</v>
      </c>
      <c r="J554" s="1" t="s">
        <v>835</v>
      </c>
    </row>
    <row r="555" spans="1:10" x14ac:dyDescent="0.25">
      <c r="A555" s="1" t="s">
        <v>577</v>
      </c>
      <c r="B555">
        <v>28</v>
      </c>
      <c r="C555" s="1" t="s">
        <v>15</v>
      </c>
      <c r="D555" s="1" t="s">
        <v>12</v>
      </c>
      <c r="E555" s="1" t="s">
        <v>13</v>
      </c>
      <c r="F555">
        <v>2</v>
      </c>
      <c r="G555">
        <v>5</v>
      </c>
      <c r="H555">
        <v>3.2</v>
      </c>
      <c r="I555">
        <v>58000</v>
      </c>
      <c r="J555" s="1" t="s">
        <v>834</v>
      </c>
    </row>
    <row r="556" spans="1:10" x14ac:dyDescent="0.25">
      <c r="A556" s="1" t="s">
        <v>578</v>
      </c>
      <c r="B556">
        <v>34</v>
      </c>
      <c r="C556" s="1" t="s">
        <v>11</v>
      </c>
      <c r="D556" s="1" t="s">
        <v>22</v>
      </c>
      <c r="E556" s="1" t="s">
        <v>23</v>
      </c>
      <c r="F556">
        <v>6</v>
      </c>
      <c r="G556">
        <v>5</v>
      </c>
      <c r="H556">
        <v>3.7</v>
      </c>
      <c r="I556">
        <v>70000</v>
      </c>
      <c r="J556" s="1" t="s">
        <v>835</v>
      </c>
    </row>
    <row r="557" spans="1:10" x14ac:dyDescent="0.25">
      <c r="A557" s="1" t="s">
        <v>579</v>
      </c>
      <c r="B557">
        <v>36</v>
      </c>
      <c r="C557" s="1" t="s">
        <v>15</v>
      </c>
      <c r="D557" s="1" t="s">
        <v>28</v>
      </c>
      <c r="E557" s="1" t="s">
        <v>20</v>
      </c>
      <c r="F557">
        <v>8</v>
      </c>
      <c r="G557">
        <v>5</v>
      </c>
      <c r="H557">
        <v>4</v>
      </c>
      <c r="I557">
        <v>60000</v>
      </c>
      <c r="J557" s="1" t="s">
        <v>834</v>
      </c>
    </row>
    <row r="558" spans="1:10" x14ac:dyDescent="0.25">
      <c r="A558" s="1" t="s">
        <v>580</v>
      </c>
      <c r="B558">
        <v>30</v>
      </c>
      <c r="C558" s="1" t="s">
        <v>11</v>
      </c>
      <c r="D558" s="1" t="s">
        <v>12</v>
      </c>
      <c r="E558" s="1" t="s">
        <v>17</v>
      </c>
      <c r="F558">
        <v>5</v>
      </c>
      <c r="G558">
        <v>5</v>
      </c>
      <c r="H558">
        <v>3.9</v>
      </c>
      <c r="I558">
        <v>70000</v>
      </c>
      <c r="J558" s="1" t="s">
        <v>835</v>
      </c>
    </row>
    <row r="559" spans="1:10" x14ac:dyDescent="0.25">
      <c r="A559" s="1" t="s">
        <v>581</v>
      </c>
      <c r="B559">
        <v>31</v>
      </c>
      <c r="C559" s="1" t="s">
        <v>15</v>
      </c>
      <c r="D559" s="1" t="s">
        <v>16</v>
      </c>
      <c r="E559" s="1" t="s">
        <v>23</v>
      </c>
      <c r="F559">
        <v>4</v>
      </c>
      <c r="G559">
        <v>5</v>
      </c>
      <c r="H559">
        <v>3.5</v>
      </c>
      <c r="I559">
        <v>75000</v>
      </c>
      <c r="J559" s="1" t="s">
        <v>834</v>
      </c>
    </row>
    <row r="560" spans="1:10" x14ac:dyDescent="0.25">
      <c r="A560" s="1" t="s">
        <v>582</v>
      </c>
      <c r="B560">
        <v>29</v>
      </c>
      <c r="C560" s="1" t="s">
        <v>11</v>
      </c>
      <c r="D560" s="1" t="s">
        <v>19</v>
      </c>
      <c r="E560" s="1" t="s">
        <v>26</v>
      </c>
      <c r="F560">
        <v>3</v>
      </c>
      <c r="G560">
        <v>5</v>
      </c>
      <c r="H560">
        <v>3.4</v>
      </c>
      <c r="I560">
        <v>59000</v>
      </c>
      <c r="J560" s="1" t="s">
        <v>835</v>
      </c>
    </row>
    <row r="561" spans="1:10" x14ac:dyDescent="0.25">
      <c r="A561" s="1" t="s">
        <v>583</v>
      </c>
      <c r="B561">
        <v>40</v>
      </c>
      <c r="C561" s="1" t="s">
        <v>15</v>
      </c>
      <c r="D561" s="1" t="s">
        <v>22</v>
      </c>
      <c r="E561" s="1" t="s">
        <v>23</v>
      </c>
      <c r="F561">
        <v>8</v>
      </c>
      <c r="G561">
        <v>5</v>
      </c>
      <c r="H561">
        <v>3.7</v>
      </c>
      <c r="I561">
        <v>70000</v>
      </c>
      <c r="J561" s="1" t="s">
        <v>834</v>
      </c>
    </row>
    <row r="562" spans="1:10" x14ac:dyDescent="0.25">
      <c r="A562" s="1" t="s">
        <v>584</v>
      </c>
      <c r="B562">
        <v>45</v>
      </c>
      <c r="C562" s="1" t="s">
        <v>11</v>
      </c>
      <c r="D562" s="1" t="s">
        <v>25</v>
      </c>
      <c r="E562" s="1" t="s">
        <v>26</v>
      </c>
      <c r="F562">
        <v>11</v>
      </c>
      <c r="G562">
        <v>5</v>
      </c>
      <c r="H562">
        <v>4.0999999999999996</v>
      </c>
      <c r="I562">
        <v>59000</v>
      </c>
      <c r="J562" s="1" t="s">
        <v>835</v>
      </c>
    </row>
    <row r="563" spans="1:10" x14ac:dyDescent="0.25">
      <c r="A563" s="1" t="s">
        <v>585</v>
      </c>
      <c r="B563">
        <v>32</v>
      </c>
      <c r="C563" s="1" t="s">
        <v>15</v>
      </c>
      <c r="D563" s="1" t="s">
        <v>19</v>
      </c>
      <c r="E563" s="1" t="s">
        <v>26</v>
      </c>
      <c r="F563">
        <v>4</v>
      </c>
      <c r="G563">
        <v>5</v>
      </c>
      <c r="H563">
        <v>3.8</v>
      </c>
      <c r="I563">
        <v>73000</v>
      </c>
      <c r="J563" s="1" t="s">
        <v>834</v>
      </c>
    </row>
    <row r="564" spans="1:10" x14ac:dyDescent="0.25">
      <c r="A564" s="1" t="s">
        <v>586</v>
      </c>
      <c r="B564">
        <v>29</v>
      </c>
      <c r="C564" s="1" t="s">
        <v>11</v>
      </c>
      <c r="D564" s="1" t="s">
        <v>22</v>
      </c>
      <c r="E564" s="1" t="s">
        <v>23</v>
      </c>
      <c r="F564">
        <v>4</v>
      </c>
      <c r="G564">
        <v>5</v>
      </c>
      <c r="H564">
        <v>3.5</v>
      </c>
      <c r="I564">
        <v>75000</v>
      </c>
      <c r="J564" s="1" t="s">
        <v>835</v>
      </c>
    </row>
    <row r="565" spans="1:10" x14ac:dyDescent="0.25">
      <c r="A565" s="1" t="s">
        <v>587</v>
      </c>
      <c r="B565">
        <v>34</v>
      </c>
      <c r="C565" s="1" t="s">
        <v>15</v>
      </c>
      <c r="D565" s="1" t="s">
        <v>28</v>
      </c>
      <c r="E565" s="1" t="s">
        <v>20</v>
      </c>
      <c r="F565">
        <v>6</v>
      </c>
      <c r="G565">
        <v>5</v>
      </c>
      <c r="H565">
        <v>3.7</v>
      </c>
      <c r="I565">
        <v>70000</v>
      </c>
      <c r="J565" s="1" t="s">
        <v>835</v>
      </c>
    </row>
    <row r="566" spans="1:10" x14ac:dyDescent="0.25">
      <c r="A566" s="1" t="s">
        <v>588</v>
      </c>
      <c r="B566">
        <v>36</v>
      </c>
      <c r="C566" s="1" t="s">
        <v>11</v>
      </c>
      <c r="D566" s="1" t="s">
        <v>12</v>
      </c>
      <c r="E566" s="1" t="s">
        <v>17</v>
      </c>
      <c r="F566">
        <v>8</v>
      </c>
      <c r="G566">
        <v>5</v>
      </c>
      <c r="H566">
        <v>4</v>
      </c>
      <c r="I566">
        <v>68000</v>
      </c>
      <c r="J566" s="1" t="s">
        <v>834</v>
      </c>
    </row>
    <row r="567" spans="1:10" x14ac:dyDescent="0.25">
      <c r="A567" s="1" t="s">
        <v>589</v>
      </c>
      <c r="B567">
        <v>30</v>
      </c>
      <c r="C567" s="1" t="s">
        <v>15</v>
      </c>
      <c r="D567" s="1" t="s">
        <v>19</v>
      </c>
      <c r="E567" s="1" t="s">
        <v>26</v>
      </c>
      <c r="F567">
        <v>4</v>
      </c>
      <c r="G567">
        <v>5</v>
      </c>
      <c r="H567">
        <v>3.9</v>
      </c>
      <c r="I567">
        <v>62000</v>
      </c>
      <c r="J567" s="1" t="s">
        <v>835</v>
      </c>
    </row>
    <row r="568" spans="1:10" x14ac:dyDescent="0.25">
      <c r="A568" s="1" t="s">
        <v>590</v>
      </c>
      <c r="B568">
        <v>31</v>
      </c>
      <c r="C568" s="1" t="s">
        <v>11</v>
      </c>
      <c r="D568" s="1" t="s">
        <v>22</v>
      </c>
      <c r="E568" s="1" t="s">
        <v>23</v>
      </c>
      <c r="F568">
        <v>5</v>
      </c>
      <c r="G568">
        <v>5</v>
      </c>
      <c r="H568">
        <v>3.5</v>
      </c>
      <c r="I568">
        <v>59000</v>
      </c>
      <c r="J568" s="1" t="s">
        <v>834</v>
      </c>
    </row>
    <row r="569" spans="1:10" x14ac:dyDescent="0.25">
      <c r="A569" s="1" t="s">
        <v>591</v>
      </c>
      <c r="B569">
        <v>33</v>
      </c>
      <c r="C569" s="1" t="s">
        <v>15</v>
      </c>
      <c r="D569" s="1" t="s">
        <v>28</v>
      </c>
      <c r="E569" s="1" t="s">
        <v>20</v>
      </c>
      <c r="F569">
        <v>7</v>
      </c>
      <c r="G569">
        <v>5</v>
      </c>
      <c r="H569">
        <v>3.8</v>
      </c>
      <c r="I569">
        <v>63000</v>
      </c>
      <c r="J569" s="1" t="s">
        <v>835</v>
      </c>
    </row>
    <row r="570" spans="1:10" x14ac:dyDescent="0.25">
      <c r="A570" s="1" t="s">
        <v>592</v>
      </c>
      <c r="B570">
        <v>37</v>
      </c>
      <c r="C570" s="1" t="s">
        <v>11</v>
      </c>
      <c r="D570" s="1" t="s">
        <v>16</v>
      </c>
      <c r="E570" s="1" t="s">
        <v>23</v>
      </c>
      <c r="F570">
        <v>8</v>
      </c>
      <c r="G570">
        <v>5</v>
      </c>
      <c r="H570">
        <v>4.3</v>
      </c>
      <c r="I570">
        <v>72000</v>
      </c>
      <c r="J570" s="1" t="s">
        <v>834</v>
      </c>
    </row>
    <row r="571" spans="1:10" x14ac:dyDescent="0.25">
      <c r="A571" s="1" t="s">
        <v>593</v>
      </c>
      <c r="B571">
        <v>28</v>
      </c>
      <c r="C571" s="1" t="s">
        <v>15</v>
      </c>
      <c r="D571" s="1" t="s">
        <v>12</v>
      </c>
      <c r="E571" s="1" t="s">
        <v>13</v>
      </c>
      <c r="F571">
        <v>2</v>
      </c>
      <c r="G571">
        <v>5</v>
      </c>
      <c r="H571">
        <v>3.2</v>
      </c>
      <c r="I571">
        <v>57000</v>
      </c>
      <c r="J571" s="1" t="s">
        <v>835</v>
      </c>
    </row>
    <row r="572" spans="1:10" x14ac:dyDescent="0.25">
      <c r="A572" s="1" t="s">
        <v>594</v>
      </c>
      <c r="B572">
        <v>34</v>
      </c>
      <c r="C572" s="1" t="s">
        <v>11</v>
      </c>
      <c r="D572" s="1" t="s">
        <v>22</v>
      </c>
      <c r="E572" s="1" t="s">
        <v>23</v>
      </c>
      <c r="F572">
        <v>6</v>
      </c>
      <c r="G572">
        <v>5</v>
      </c>
      <c r="H572">
        <v>3.7</v>
      </c>
      <c r="I572">
        <v>70000</v>
      </c>
      <c r="J572" s="1" t="s">
        <v>834</v>
      </c>
    </row>
    <row r="573" spans="1:10" x14ac:dyDescent="0.25">
      <c r="A573" s="1" t="s">
        <v>595</v>
      </c>
      <c r="B573">
        <v>36</v>
      </c>
      <c r="C573" s="1" t="s">
        <v>15</v>
      </c>
      <c r="D573" s="1" t="s">
        <v>28</v>
      </c>
      <c r="E573" s="1" t="s">
        <v>20</v>
      </c>
      <c r="F573">
        <v>8</v>
      </c>
      <c r="G573">
        <v>5</v>
      </c>
      <c r="H573">
        <v>4</v>
      </c>
      <c r="I573">
        <v>60000</v>
      </c>
      <c r="J573" s="1" t="s">
        <v>835</v>
      </c>
    </row>
    <row r="574" spans="1:10" x14ac:dyDescent="0.25">
      <c r="A574" s="1" t="s">
        <v>596</v>
      </c>
      <c r="B574">
        <v>30</v>
      </c>
      <c r="C574" s="1" t="s">
        <v>11</v>
      </c>
      <c r="D574" s="1" t="s">
        <v>12</v>
      </c>
      <c r="E574" s="1" t="s">
        <v>17</v>
      </c>
      <c r="F574">
        <v>5</v>
      </c>
      <c r="G574">
        <v>5</v>
      </c>
      <c r="H574">
        <v>3.9</v>
      </c>
      <c r="I574">
        <v>70000</v>
      </c>
      <c r="J574" s="1" t="s">
        <v>834</v>
      </c>
    </row>
    <row r="575" spans="1:10" x14ac:dyDescent="0.25">
      <c r="A575" s="1" t="s">
        <v>597</v>
      </c>
      <c r="B575">
        <v>31</v>
      </c>
      <c r="C575" s="1" t="s">
        <v>15</v>
      </c>
      <c r="D575" s="1" t="s">
        <v>16</v>
      </c>
      <c r="E575" s="1" t="s">
        <v>23</v>
      </c>
      <c r="F575">
        <v>4</v>
      </c>
      <c r="G575">
        <v>5</v>
      </c>
      <c r="H575">
        <v>3.5</v>
      </c>
      <c r="I575">
        <v>75000</v>
      </c>
      <c r="J575" s="1" t="s">
        <v>835</v>
      </c>
    </row>
    <row r="576" spans="1:10" x14ac:dyDescent="0.25">
      <c r="A576" s="1" t="s">
        <v>598</v>
      </c>
      <c r="B576">
        <v>29</v>
      </c>
      <c r="C576" s="1" t="s">
        <v>11</v>
      </c>
      <c r="D576" s="1" t="s">
        <v>19</v>
      </c>
      <c r="E576" s="1" t="s">
        <v>26</v>
      </c>
      <c r="F576">
        <v>3</v>
      </c>
      <c r="G576">
        <v>5</v>
      </c>
      <c r="H576">
        <v>3.4</v>
      </c>
      <c r="I576">
        <v>59000</v>
      </c>
      <c r="J576" s="1" t="s">
        <v>834</v>
      </c>
    </row>
    <row r="577" spans="1:10" x14ac:dyDescent="0.25">
      <c r="A577" s="1" t="s">
        <v>599</v>
      </c>
      <c r="B577">
        <v>40</v>
      </c>
      <c r="C577" s="1" t="s">
        <v>15</v>
      </c>
      <c r="D577" s="1" t="s">
        <v>22</v>
      </c>
      <c r="E577" s="1" t="s">
        <v>23</v>
      </c>
      <c r="F577">
        <v>8</v>
      </c>
      <c r="G577">
        <v>5</v>
      </c>
      <c r="H577">
        <v>3.7</v>
      </c>
      <c r="I577">
        <v>70000</v>
      </c>
      <c r="J577" s="1" t="s">
        <v>835</v>
      </c>
    </row>
    <row r="578" spans="1:10" x14ac:dyDescent="0.25">
      <c r="A578" s="1" t="s">
        <v>600</v>
      </c>
      <c r="B578">
        <v>45</v>
      </c>
      <c r="C578" s="1" t="s">
        <v>11</v>
      </c>
      <c r="D578" s="1" t="s">
        <v>25</v>
      </c>
      <c r="E578" s="1" t="s">
        <v>26</v>
      </c>
      <c r="F578">
        <v>11</v>
      </c>
      <c r="G578">
        <v>5</v>
      </c>
      <c r="H578">
        <v>4.0999999999999996</v>
      </c>
      <c r="I578">
        <v>59000</v>
      </c>
      <c r="J578" s="1" t="s">
        <v>834</v>
      </c>
    </row>
    <row r="579" spans="1:10" x14ac:dyDescent="0.25">
      <c r="A579" s="1" t="s">
        <v>601</v>
      </c>
      <c r="B579">
        <v>32</v>
      </c>
      <c r="C579" s="1" t="s">
        <v>15</v>
      </c>
      <c r="D579" s="1" t="s">
        <v>19</v>
      </c>
      <c r="E579" s="1" t="s">
        <v>26</v>
      </c>
      <c r="F579">
        <v>4</v>
      </c>
      <c r="G579">
        <v>5</v>
      </c>
      <c r="H579">
        <v>3.8</v>
      </c>
      <c r="I579">
        <v>73000</v>
      </c>
      <c r="J579" s="1" t="s">
        <v>835</v>
      </c>
    </row>
    <row r="580" spans="1:10" x14ac:dyDescent="0.25">
      <c r="A580" s="1" t="s">
        <v>602</v>
      </c>
      <c r="B580">
        <v>29</v>
      </c>
      <c r="C580" s="1" t="s">
        <v>11</v>
      </c>
      <c r="D580" s="1" t="s">
        <v>22</v>
      </c>
      <c r="E580" s="1" t="s">
        <v>23</v>
      </c>
      <c r="F580">
        <v>4</v>
      </c>
      <c r="G580">
        <v>5</v>
      </c>
      <c r="H580">
        <v>3.5</v>
      </c>
      <c r="I580">
        <v>75000</v>
      </c>
      <c r="J580" s="1" t="s">
        <v>834</v>
      </c>
    </row>
    <row r="581" spans="1:10" x14ac:dyDescent="0.25">
      <c r="A581" s="1" t="s">
        <v>603</v>
      </c>
      <c r="B581">
        <v>33</v>
      </c>
      <c r="C581" s="1" t="s">
        <v>15</v>
      </c>
      <c r="D581" s="1" t="s">
        <v>28</v>
      </c>
      <c r="E581" s="1" t="s">
        <v>20</v>
      </c>
      <c r="F581">
        <v>6</v>
      </c>
      <c r="G581">
        <v>5</v>
      </c>
      <c r="H581">
        <v>3.8</v>
      </c>
      <c r="I581">
        <v>42000</v>
      </c>
      <c r="J581" s="1" t="s">
        <v>835</v>
      </c>
    </row>
    <row r="582" spans="1:10" x14ac:dyDescent="0.25">
      <c r="A582" s="1" t="s">
        <v>604</v>
      </c>
      <c r="B582">
        <v>37</v>
      </c>
      <c r="C582" s="1" t="s">
        <v>11</v>
      </c>
      <c r="D582" s="1" t="s">
        <v>16</v>
      </c>
      <c r="E582" s="1" t="s">
        <v>23</v>
      </c>
      <c r="F582">
        <v>7</v>
      </c>
      <c r="G582">
        <v>5</v>
      </c>
      <c r="H582">
        <v>4.3</v>
      </c>
      <c r="I582">
        <v>76000</v>
      </c>
      <c r="J582" s="1" t="s">
        <v>834</v>
      </c>
    </row>
    <row r="583" spans="1:10" x14ac:dyDescent="0.25">
      <c r="A583" s="1" t="s">
        <v>605</v>
      </c>
      <c r="B583">
        <v>28</v>
      </c>
      <c r="C583" s="1" t="s">
        <v>15</v>
      </c>
      <c r="D583" s="1" t="s">
        <v>12</v>
      </c>
      <c r="E583" s="1" t="s">
        <v>13</v>
      </c>
      <c r="F583">
        <v>2</v>
      </c>
      <c r="G583">
        <v>5</v>
      </c>
      <c r="H583">
        <v>3.2</v>
      </c>
      <c r="I583">
        <v>58000</v>
      </c>
      <c r="J583" s="1" t="s">
        <v>835</v>
      </c>
    </row>
    <row r="584" spans="1:10" x14ac:dyDescent="0.25">
      <c r="A584" s="1" t="s">
        <v>606</v>
      </c>
      <c r="B584">
        <v>34</v>
      </c>
      <c r="C584" s="1" t="s">
        <v>11</v>
      </c>
      <c r="D584" s="1" t="s">
        <v>22</v>
      </c>
      <c r="E584" s="1" t="s">
        <v>23</v>
      </c>
      <c r="F584">
        <v>6</v>
      </c>
      <c r="G584">
        <v>5</v>
      </c>
      <c r="H584">
        <v>3.7</v>
      </c>
      <c r="I584">
        <v>70000</v>
      </c>
      <c r="J584" s="1" t="s">
        <v>834</v>
      </c>
    </row>
    <row r="585" spans="1:10" x14ac:dyDescent="0.25">
      <c r="A585" s="1" t="s">
        <v>607</v>
      </c>
      <c r="B585">
        <v>36</v>
      </c>
      <c r="C585" s="1" t="s">
        <v>15</v>
      </c>
      <c r="D585" s="1" t="s">
        <v>28</v>
      </c>
      <c r="E585" s="1" t="s">
        <v>20</v>
      </c>
      <c r="F585">
        <v>8</v>
      </c>
      <c r="G585">
        <v>5</v>
      </c>
      <c r="H585">
        <v>4</v>
      </c>
      <c r="I585">
        <v>60000</v>
      </c>
      <c r="J585" s="1" t="s">
        <v>835</v>
      </c>
    </row>
    <row r="586" spans="1:10" x14ac:dyDescent="0.25">
      <c r="A586" s="1" t="s">
        <v>608</v>
      </c>
      <c r="B586">
        <v>30</v>
      </c>
      <c r="C586" s="1" t="s">
        <v>11</v>
      </c>
      <c r="D586" s="1" t="s">
        <v>12</v>
      </c>
      <c r="E586" s="1" t="s">
        <v>17</v>
      </c>
      <c r="F586">
        <v>5</v>
      </c>
      <c r="G586">
        <v>5</v>
      </c>
      <c r="H586">
        <v>3.9</v>
      </c>
      <c r="I586">
        <v>70000</v>
      </c>
      <c r="J586" s="1" t="s">
        <v>834</v>
      </c>
    </row>
    <row r="587" spans="1:10" x14ac:dyDescent="0.25">
      <c r="A587" s="1" t="s">
        <v>609</v>
      </c>
      <c r="B587">
        <v>31</v>
      </c>
      <c r="C587" s="1" t="s">
        <v>15</v>
      </c>
      <c r="D587" s="1" t="s">
        <v>16</v>
      </c>
      <c r="E587" s="1" t="s">
        <v>23</v>
      </c>
      <c r="F587">
        <v>4</v>
      </c>
      <c r="G587">
        <v>5</v>
      </c>
      <c r="H587">
        <v>3.5</v>
      </c>
      <c r="I587">
        <v>75000</v>
      </c>
      <c r="J587" s="1" t="s">
        <v>835</v>
      </c>
    </row>
    <row r="588" spans="1:10" x14ac:dyDescent="0.25">
      <c r="A588" s="1" t="s">
        <v>610</v>
      </c>
      <c r="B588">
        <v>29</v>
      </c>
      <c r="C588" s="1" t="s">
        <v>11</v>
      </c>
      <c r="D588" s="1" t="s">
        <v>19</v>
      </c>
      <c r="E588" s="1" t="s">
        <v>26</v>
      </c>
      <c r="F588">
        <v>3</v>
      </c>
      <c r="G588">
        <v>5</v>
      </c>
      <c r="H588">
        <v>3.4</v>
      </c>
      <c r="I588">
        <v>59000</v>
      </c>
      <c r="J588" s="1" t="s">
        <v>834</v>
      </c>
    </row>
    <row r="589" spans="1:10" x14ac:dyDescent="0.25">
      <c r="A589" s="1" t="s">
        <v>611</v>
      </c>
      <c r="B589">
        <v>40</v>
      </c>
      <c r="C589" s="1" t="s">
        <v>15</v>
      </c>
      <c r="D589" s="1" t="s">
        <v>22</v>
      </c>
      <c r="E589" s="1" t="s">
        <v>23</v>
      </c>
      <c r="F589">
        <v>8</v>
      </c>
      <c r="G589">
        <v>5</v>
      </c>
      <c r="H589">
        <v>3.7</v>
      </c>
      <c r="I589">
        <v>70000</v>
      </c>
      <c r="J589" s="1" t="s">
        <v>835</v>
      </c>
    </row>
    <row r="590" spans="1:10" x14ac:dyDescent="0.25">
      <c r="A590" s="1" t="s">
        <v>612</v>
      </c>
      <c r="B590">
        <v>45</v>
      </c>
      <c r="C590" s="1" t="s">
        <v>11</v>
      </c>
      <c r="D590" s="1" t="s">
        <v>25</v>
      </c>
      <c r="E590" s="1" t="s">
        <v>26</v>
      </c>
      <c r="F590">
        <v>11</v>
      </c>
      <c r="G590">
        <v>5</v>
      </c>
      <c r="H590">
        <v>4.0999999999999996</v>
      </c>
      <c r="I590">
        <v>59000</v>
      </c>
      <c r="J590" s="1" t="s">
        <v>834</v>
      </c>
    </row>
    <row r="591" spans="1:10" x14ac:dyDescent="0.25">
      <c r="A591" s="1" t="s">
        <v>613</v>
      </c>
      <c r="B591">
        <v>32</v>
      </c>
      <c r="C591" s="1" t="s">
        <v>15</v>
      </c>
      <c r="D591" s="1" t="s">
        <v>19</v>
      </c>
      <c r="E591" s="1" t="s">
        <v>26</v>
      </c>
      <c r="F591">
        <v>4</v>
      </c>
      <c r="G591">
        <v>5</v>
      </c>
      <c r="H591">
        <v>3.8</v>
      </c>
      <c r="I591">
        <v>73000</v>
      </c>
      <c r="J591" s="1" t="s">
        <v>835</v>
      </c>
    </row>
    <row r="592" spans="1:10" x14ac:dyDescent="0.25">
      <c r="A592" s="1" t="s">
        <v>614</v>
      </c>
      <c r="B592">
        <v>29</v>
      </c>
      <c r="C592" s="1" t="s">
        <v>11</v>
      </c>
      <c r="D592" s="1" t="s">
        <v>22</v>
      </c>
      <c r="E592" s="1" t="s">
        <v>23</v>
      </c>
      <c r="F592">
        <v>4</v>
      </c>
      <c r="G592">
        <v>5</v>
      </c>
      <c r="H592">
        <v>3.5</v>
      </c>
      <c r="I592">
        <v>75000</v>
      </c>
      <c r="J592" s="1" t="s">
        <v>834</v>
      </c>
    </row>
    <row r="593" spans="1:10" x14ac:dyDescent="0.25">
      <c r="A593" s="1" t="s">
        <v>615</v>
      </c>
      <c r="B593">
        <v>33</v>
      </c>
      <c r="C593" s="1" t="s">
        <v>15</v>
      </c>
      <c r="D593" s="1" t="s">
        <v>28</v>
      </c>
      <c r="E593" s="1" t="s">
        <v>20</v>
      </c>
      <c r="F593">
        <v>6</v>
      </c>
      <c r="G593">
        <v>5</v>
      </c>
      <c r="H593">
        <v>3.8</v>
      </c>
      <c r="I593">
        <v>42000</v>
      </c>
      <c r="J593" s="1" t="s">
        <v>835</v>
      </c>
    </row>
    <row r="594" spans="1:10" x14ac:dyDescent="0.25">
      <c r="A594" s="1" t="s">
        <v>616</v>
      </c>
      <c r="B594">
        <v>37</v>
      </c>
      <c r="C594" s="1" t="s">
        <v>11</v>
      </c>
      <c r="D594" s="1" t="s">
        <v>16</v>
      </c>
      <c r="E594" s="1" t="s">
        <v>23</v>
      </c>
      <c r="F594">
        <v>7</v>
      </c>
      <c r="G594">
        <v>5</v>
      </c>
      <c r="H594">
        <v>4.3</v>
      </c>
      <c r="I594">
        <v>76000</v>
      </c>
      <c r="J594" s="1" t="s">
        <v>834</v>
      </c>
    </row>
    <row r="595" spans="1:10" x14ac:dyDescent="0.25">
      <c r="A595" s="1" t="s">
        <v>617</v>
      </c>
      <c r="B595">
        <v>28</v>
      </c>
      <c r="C595" s="1" t="s">
        <v>15</v>
      </c>
      <c r="D595" s="1" t="s">
        <v>12</v>
      </c>
      <c r="E595" s="1" t="s">
        <v>13</v>
      </c>
      <c r="F595">
        <v>2</v>
      </c>
      <c r="G595">
        <v>5</v>
      </c>
      <c r="H595">
        <v>3.2</v>
      </c>
      <c r="I595">
        <v>58000</v>
      </c>
      <c r="J595" s="1" t="s">
        <v>835</v>
      </c>
    </row>
    <row r="596" spans="1:10" x14ac:dyDescent="0.25">
      <c r="A596" s="1" t="s">
        <v>618</v>
      </c>
      <c r="B596">
        <v>34</v>
      </c>
      <c r="C596" s="1" t="s">
        <v>11</v>
      </c>
      <c r="D596" s="1" t="s">
        <v>22</v>
      </c>
      <c r="E596" s="1" t="s">
        <v>23</v>
      </c>
      <c r="F596">
        <v>6</v>
      </c>
      <c r="G596">
        <v>5</v>
      </c>
      <c r="H596">
        <v>3.7</v>
      </c>
      <c r="I596">
        <v>70000</v>
      </c>
      <c r="J596" s="1" t="s">
        <v>834</v>
      </c>
    </row>
    <row r="597" spans="1:10" x14ac:dyDescent="0.25">
      <c r="A597" s="1" t="s">
        <v>619</v>
      </c>
      <c r="B597">
        <v>36</v>
      </c>
      <c r="C597" s="1" t="s">
        <v>15</v>
      </c>
      <c r="D597" s="1" t="s">
        <v>28</v>
      </c>
      <c r="E597" s="1" t="s">
        <v>20</v>
      </c>
      <c r="F597">
        <v>8</v>
      </c>
      <c r="G597">
        <v>5</v>
      </c>
      <c r="H597">
        <v>4</v>
      </c>
      <c r="I597">
        <v>60000</v>
      </c>
      <c r="J597" s="1" t="s">
        <v>835</v>
      </c>
    </row>
    <row r="598" spans="1:10" x14ac:dyDescent="0.25">
      <c r="A598" s="1" t="s">
        <v>620</v>
      </c>
      <c r="B598">
        <v>30</v>
      </c>
      <c r="C598" s="1" t="s">
        <v>11</v>
      </c>
      <c r="D598" s="1" t="s">
        <v>12</v>
      </c>
      <c r="E598" s="1" t="s">
        <v>17</v>
      </c>
      <c r="F598">
        <v>5</v>
      </c>
      <c r="G598">
        <v>5</v>
      </c>
      <c r="H598">
        <v>3.9</v>
      </c>
      <c r="I598">
        <v>70000</v>
      </c>
      <c r="J598" s="1" t="s">
        <v>834</v>
      </c>
    </row>
    <row r="599" spans="1:10" x14ac:dyDescent="0.25">
      <c r="A599" s="1" t="s">
        <v>621</v>
      </c>
      <c r="B599">
        <v>31</v>
      </c>
      <c r="C599" s="1" t="s">
        <v>15</v>
      </c>
      <c r="D599" s="1" t="s">
        <v>16</v>
      </c>
      <c r="E599" s="1" t="s">
        <v>23</v>
      </c>
      <c r="F599">
        <v>4</v>
      </c>
      <c r="G599">
        <v>5</v>
      </c>
      <c r="H599">
        <v>3.5</v>
      </c>
      <c r="I599">
        <v>75000</v>
      </c>
      <c r="J599" s="1" t="s">
        <v>835</v>
      </c>
    </row>
    <row r="600" spans="1:10" x14ac:dyDescent="0.25">
      <c r="A600" s="1" t="s">
        <v>622</v>
      </c>
      <c r="B600">
        <v>29</v>
      </c>
      <c r="C600" s="1" t="s">
        <v>11</v>
      </c>
      <c r="D600" s="1" t="s">
        <v>19</v>
      </c>
      <c r="E600" s="1" t="s">
        <v>26</v>
      </c>
      <c r="F600">
        <v>3</v>
      </c>
      <c r="G600">
        <v>5</v>
      </c>
      <c r="H600">
        <v>3.4</v>
      </c>
      <c r="I600">
        <v>59000</v>
      </c>
      <c r="J600" s="1" t="s">
        <v>834</v>
      </c>
    </row>
    <row r="601" spans="1:10" x14ac:dyDescent="0.25">
      <c r="A601" s="1" t="s">
        <v>623</v>
      </c>
      <c r="B601">
        <v>33</v>
      </c>
      <c r="C601" s="1" t="s">
        <v>15</v>
      </c>
      <c r="D601" s="1" t="s">
        <v>28</v>
      </c>
      <c r="E601" s="1" t="s">
        <v>20</v>
      </c>
      <c r="F601">
        <v>6</v>
      </c>
      <c r="G601">
        <v>5</v>
      </c>
      <c r="H601">
        <v>3.8</v>
      </c>
      <c r="I601">
        <v>42000</v>
      </c>
      <c r="J601" s="1" t="s">
        <v>835</v>
      </c>
    </row>
    <row r="602" spans="1:10" x14ac:dyDescent="0.25">
      <c r="A602" s="1" t="s">
        <v>624</v>
      </c>
      <c r="B602">
        <v>37</v>
      </c>
      <c r="C602" s="1" t="s">
        <v>11</v>
      </c>
      <c r="D602" s="1" t="s">
        <v>16</v>
      </c>
      <c r="E602" s="1" t="s">
        <v>23</v>
      </c>
      <c r="F602">
        <v>7</v>
      </c>
      <c r="G602">
        <v>5</v>
      </c>
      <c r="H602">
        <v>4.3</v>
      </c>
      <c r="I602">
        <v>76000</v>
      </c>
      <c r="J602" s="1" t="s">
        <v>834</v>
      </c>
    </row>
    <row r="603" spans="1:10" x14ac:dyDescent="0.25">
      <c r="A603" s="1" t="s">
        <v>625</v>
      </c>
      <c r="B603">
        <v>28</v>
      </c>
      <c r="C603" s="1" t="s">
        <v>15</v>
      </c>
      <c r="D603" s="1" t="s">
        <v>12</v>
      </c>
      <c r="E603" s="1" t="s">
        <v>13</v>
      </c>
      <c r="F603">
        <v>2</v>
      </c>
      <c r="G603">
        <v>5</v>
      </c>
      <c r="H603">
        <v>3.2</v>
      </c>
      <c r="I603">
        <v>58000</v>
      </c>
      <c r="J603" s="1" t="s">
        <v>835</v>
      </c>
    </row>
    <row r="604" spans="1:10" x14ac:dyDescent="0.25">
      <c r="A604" s="1" t="s">
        <v>626</v>
      </c>
      <c r="B604">
        <v>34</v>
      </c>
      <c r="C604" s="1" t="s">
        <v>11</v>
      </c>
      <c r="D604" s="1" t="s">
        <v>22</v>
      </c>
      <c r="E604" s="1" t="s">
        <v>23</v>
      </c>
      <c r="F604">
        <v>6</v>
      </c>
      <c r="G604">
        <v>5</v>
      </c>
      <c r="H604">
        <v>3.7</v>
      </c>
      <c r="I604">
        <v>70000</v>
      </c>
      <c r="J604" s="1" t="s">
        <v>834</v>
      </c>
    </row>
    <row r="605" spans="1:10" x14ac:dyDescent="0.25">
      <c r="A605" s="1" t="s">
        <v>627</v>
      </c>
      <c r="B605">
        <v>36</v>
      </c>
      <c r="C605" s="1" t="s">
        <v>15</v>
      </c>
      <c r="D605" s="1" t="s">
        <v>28</v>
      </c>
      <c r="E605" s="1" t="s">
        <v>20</v>
      </c>
      <c r="F605">
        <v>8</v>
      </c>
      <c r="G605">
        <v>5</v>
      </c>
      <c r="H605">
        <v>4</v>
      </c>
      <c r="I605">
        <v>60000</v>
      </c>
      <c r="J605" s="1" t="s">
        <v>835</v>
      </c>
    </row>
    <row r="606" spans="1:10" x14ac:dyDescent="0.25">
      <c r="A606" s="1" t="s">
        <v>628</v>
      </c>
      <c r="B606">
        <v>30</v>
      </c>
      <c r="C606" s="1" t="s">
        <v>11</v>
      </c>
      <c r="D606" s="1" t="s">
        <v>12</v>
      </c>
      <c r="E606" s="1" t="s">
        <v>17</v>
      </c>
      <c r="F606">
        <v>5</v>
      </c>
      <c r="G606">
        <v>5</v>
      </c>
      <c r="H606">
        <v>3.9</v>
      </c>
      <c r="I606">
        <v>70000</v>
      </c>
      <c r="J606" s="1" t="s">
        <v>834</v>
      </c>
    </row>
    <row r="607" spans="1:10" x14ac:dyDescent="0.25">
      <c r="A607" s="1" t="s">
        <v>629</v>
      </c>
      <c r="B607">
        <v>31</v>
      </c>
      <c r="C607" s="1" t="s">
        <v>15</v>
      </c>
      <c r="D607" s="1" t="s">
        <v>16</v>
      </c>
      <c r="E607" s="1" t="s">
        <v>23</v>
      </c>
      <c r="F607">
        <v>4</v>
      </c>
      <c r="G607">
        <v>5</v>
      </c>
      <c r="H607">
        <v>3.5</v>
      </c>
      <c r="I607">
        <v>75000</v>
      </c>
      <c r="J607" s="1" t="s">
        <v>835</v>
      </c>
    </row>
    <row r="608" spans="1:10" x14ac:dyDescent="0.25">
      <c r="A608" s="1" t="s">
        <v>630</v>
      </c>
      <c r="B608">
        <v>29</v>
      </c>
      <c r="C608" s="1" t="s">
        <v>11</v>
      </c>
      <c r="D608" s="1" t="s">
        <v>19</v>
      </c>
      <c r="E608" s="1" t="s">
        <v>26</v>
      </c>
      <c r="F608">
        <v>3</v>
      </c>
      <c r="G608">
        <v>5</v>
      </c>
      <c r="H608">
        <v>3.4</v>
      </c>
      <c r="I608">
        <v>59000</v>
      </c>
      <c r="J608" s="1" t="s">
        <v>834</v>
      </c>
    </row>
    <row r="609" spans="1:10" x14ac:dyDescent="0.25">
      <c r="A609" s="1" t="s">
        <v>631</v>
      </c>
      <c r="B609">
        <v>40</v>
      </c>
      <c r="C609" s="1" t="s">
        <v>15</v>
      </c>
      <c r="D609" s="1" t="s">
        <v>22</v>
      </c>
      <c r="E609" s="1" t="s">
        <v>23</v>
      </c>
      <c r="F609">
        <v>8</v>
      </c>
      <c r="G609">
        <v>5</v>
      </c>
      <c r="H609">
        <v>3.7</v>
      </c>
      <c r="I609">
        <v>70000</v>
      </c>
      <c r="J609" s="1" t="s">
        <v>835</v>
      </c>
    </row>
    <row r="610" spans="1:10" x14ac:dyDescent="0.25">
      <c r="A610" s="1" t="s">
        <v>632</v>
      </c>
      <c r="B610">
        <v>45</v>
      </c>
      <c r="C610" s="1" t="s">
        <v>11</v>
      </c>
      <c r="D610" s="1" t="s">
        <v>25</v>
      </c>
      <c r="E610" s="1" t="s">
        <v>26</v>
      </c>
      <c r="F610">
        <v>11</v>
      </c>
      <c r="G610">
        <v>5</v>
      </c>
      <c r="H610">
        <v>4.0999999999999996</v>
      </c>
      <c r="I610">
        <v>59000</v>
      </c>
      <c r="J610" s="1" t="s">
        <v>834</v>
      </c>
    </row>
    <row r="611" spans="1:10" x14ac:dyDescent="0.25">
      <c r="A611" s="1" t="s">
        <v>633</v>
      </c>
      <c r="B611">
        <v>32</v>
      </c>
      <c r="C611" s="1" t="s">
        <v>15</v>
      </c>
      <c r="D611" s="1" t="s">
        <v>19</v>
      </c>
      <c r="E611" s="1" t="s">
        <v>26</v>
      </c>
      <c r="F611">
        <v>4</v>
      </c>
      <c r="G611">
        <v>5</v>
      </c>
      <c r="H611">
        <v>3.8</v>
      </c>
      <c r="I611">
        <v>73000</v>
      </c>
      <c r="J611" s="1" t="s">
        <v>835</v>
      </c>
    </row>
    <row r="612" spans="1:10" x14ac:dyDescent="0.25">
      <c r="A612" s="1" t="s">
        <v>634</v>
      </c>
      <c r="B612">
        <v>29</v>
      </c>
      <c r="C612" s="1" t="s">
        <v>11</v>
      </c>
      <c r="D612" s="1" t="s">
        <v>22</v>
      </c>
      <c r="E612" s="1" t="s">
        <v>23</v>
      </c>
      <c r="F612">
        <v>4</v>
      </c>
      <c r="G612">
        <v>5</v>
      </c>
      <c r="H612">
        <v>3.5</v>
      </c>
      <c r="I612">
        <v>75000</v>
      </c>
      <c r="J612" s="1" t="s">
        <v>834</v>
      </c>
    </row>
    <row r="613" spans="1:10" x14ac:dyDescent="0.25">
      <c r="A613" s="1" t="s">
        <v>635</v>
      </c>
      <c r="B613">
        <v>33</v>
      </c>
      <c r="C613" s="1" t="s">
        <v>15</v>
      </c>
      <c r="D613" s="1" t="s">
        <v>28</v>
      </c>
      <c r="E613" s="1" t="s">
        <v>20</v>
      </c>
      <c r="F613">
        <v>6</v>
      </c>
      <c r="G613">
        <v>5</v>
      </c>
      <c r="H613">
        <v>3.8</v>
      </c>
      <c r="I613">
        <v>42000</v>
      </c>
      <c r="J613" s="1" t="s">
        <v>835</v>
      </c>
    </row>
    <row r="614" spans="1:10" x14ac:dyDescent="0.25">
      <c r="A614" s="1" t="s">
        <v>636</v>
      </c>
      <c r="B614">
        <v>37</v>
      </c>
      <c r="C614" s="1" t="s">
        <v>11</v>
      </c>
      <c r="D614" s="1" t="s">
        <v>16</v>
      </c>
      <c r="E614" s="1" t="s">
        <v>23</v>
      </c>
      <c r="F614">
        <v>7</v>
      </c>
      <c r="G614">
        <v>5</v>
      </c>
      <c r="H614">
        <v>4.3</v>
      </c>
      <c r="I614">
        <v>76000</v>
      </c>
      <c r="J614" s="1" t="s">
        <v>834</v>
      </c>
    </row>
    <row r="615" spans="1:10" x14ac:dyDescent="0.25">
      <c r="A615" s="1" t="s">
        <v>637</v>
      </c>
      <c r="B615">
        <v>28</v>
      </c>
      <c r="C615" s="1" t="s">
        <v>15</v>
      </c>
      <c r="D615" s="1" t="s">
        <v>12</v>
      </c>
      <c r="E615" s="1" t="s">
        <v>13</v>
      </c>
      <c r="F615">
        <v>2</v>
      </c>
      <c r="G615">
        <v>5</v>
      </c>
      <c r="H615">
        <v>3.2</v>
      </c>
      <c r="I615">
        <v>58000</v>
      </c>
      <c r="J615" s="1" t="s">
        <v>835</v>
      </c>
    </row>
    <row r="616" spans="1:10" x14ac:dyDescent="0.25">
      <c r="A616" s="1" t="s">
        <v>638</v>
      </c>
      <c r="B616">
        <v>34</v>
      </c>
      <c r="C616" s="1" t="s">
        <v>11</v>
      </c>
      <c r="D616" s="1" t="s">
        <v>22</v>
      </c>
      <c r="E616" s="1" t="s">
        <v>23</v>
      </c>
      <c r="F616">
        <v>6</v>
      </c>
      <c r="G616">
        <v>5</v>
      </c>
      <c r="H616">
        <v>3.7</v>
      </c>
      <c r="I616">
        <v>70000</v>
      </c>
      <c r="J616" s="1" t="s">
        <v>834</v>
      </c>
    </row>
    <row r="617" spans="1:10" x14ac:dyDescent="0.25">
      <c r="A617" s="1" t="s">
        <v>639</v>
      </c>
      <c r="B617">
        <v>36</v>
      </c>
      <c r="C617" s="1" t="s">
        <v>15</v>
      </c>
      <c r="D617" s="1" t="s">
        <v>28</v>
      </c>
      <c r="E617" s="1" t="s">
        <v>20</v>
      </c>
      <c r="F617">
        <v>8</v>
      </c>
      <c r="G617">
        <v>5</v>
      </c>
      <c r="H617">
        <v>4</v>
      </c>
      <c r="I617">
        <v>60000</v>
      </c>
      <c r="J617" s="1" t="s">
        <v>835</v>
      </c>
    </row>
    <row r="618" spans="1:10" x14ac:dyDescent="0.25">
      <c r="A618" s="1" t="s">
        <v>640</v>
      </c>
      <c r="B618">
        <v>30</v>
      </c>
      <c r="C618" s="1" t="s">
        <v>11</v>
      </c>
      <c r="D618" s="1" t="s">
        <v>12</v>
      </c>
      <c r="E618" s="1" t="s">
        <v>17</v>
      </c>
      <c r="F618">
        <v>5</v>
      </c>
      <c r="G618">
        <v>5</v>
      </c>
      <c r="H618">
        <v>3.9</v>
      </c>
      <c r="I618">
        <v>70000</v>
      </c>
      <c r="J618" s="1" t="s">
        <v>834</v>
      </c>
    </row>
    <row r="619" spans="1:10" x14ac:dyDescent="0.25">
      <c r="A619" s="1" t="s">
        <v>641</v>
      </c>
      <c r="B619">
        <v>31</v>
      </c>
      <c r="C619" s="1" t="s">
        <v>15</v>
      </c>
      <c r="D619" s="1" t="s">
        <v>16</v>
      </c>
      <c r="E619" s="1" t="s">
        <v>23</v>
      </c>
      <c r="F619">
        <v>4</v>
      </c>
      <c r="G619">
        <v>5</v>
      </c>
      <c r="H619">
        <v>3.5</v>
      </c>
      <c r="I619">
        <v>75000</v>
      </c>
      <c r="J619" s="1" t="s">
        <v>835</v>
      </c>
    </row>
    <row r="620" spans="1:10" x14ac:dyDescent="0.25">
      <c r="A620" s="1" t="s">
        <v>642</v>
      </c>
      <c r="B620">
        <v>29</v>
      </c>
      <c r="C620" s="1" t="s">
        <v>11</v>
      </c>
      <c r="D620" s="1" t="s">
        <v>19</v>
      </c>
      <c r="E620" s="1" t="s">
        <v>26</v>
      </c>
      <c r="F620">
        <v>3</v>
      </c>
      <c r="G620">
        <v>5</v>
      </c>
      <c r="H620">
        <v>3.4</v>
      </c>
      <c r="I620">
        <v>59000</v>
      </c>
      <c r="J620" s="1" t="s">
        <v>834</v>
      </c>
    </row>
    <row r="621" spans="1:10" x14ac:dyDescent="0.25">
      <c r="A621" s="1" t="s">
        <v>643</v>
      </c>
      <c r="B621">
        <v>40</v>
      </c>
      <c r="C621" s="1" t="s">
        <v>15</v>
      </c>
      <c r="D621" s="1" t="s">
        <v>22</v>
      </c>
      <c r="E621" s="1" t="s">
        <v>23</v>
      </c>
      <c r="F621">
        <v>8</v>
      </c>
      <c r="G621">
        <v>5</v>
      </c>
      <c r="H621">
        <v>3.7</v>
      </c>
      <c r="I621">
        <v>70000</v>
      </c>
      <c r="J621" s="1" t="s">
        <v>835</v>
      </c>
    </row>
    <row r="622" spans="1:10" x14ac:dyDescent="0.25">
      <c r="A622" s="1" t="s">
        <v>644</v>
      </c>
      <c r="B622">
        <v>35</v>
      </c>
      <c r="C622" s="1" t="s">
        <v>11</v>
      </c>
      <c r="D622" s="1" t="s">
        <v>12</v>
      </c>
      <c r="E622" s="1" t="s">
        <v>13</v>
      </c>
      <c r="F622">
        <v>9</v>
      </c>
      <c r="G622">
        <v>9</v>
      </c>
      <c r="H622">
        <v>3.6</v>
      </c>
      <c r="I622">
        <v>60000</v>
      </c>
      <c r="J622" s="1" t="s">
        <v>835</v>
      </c>
    </row>
    <row r="623" spans="1:10" x14ac:dyDescent="0.25">
      <c r="A623" s="1" t="s">
        <v>645</v>
      </c>
      <c r="B623">
        <v>27</v>
      </c>
      <c r="C623" s="1" t="s">
        <v>15</v>
      </c>
      <c r="D623" s="1" t="s">
        <v>19</v>
      </c>
      <c r="E623" s="1" t="s">
        <v>26</v>
      </c>
      <c r="F623">
        <v>3</v>
      </c>
      <c r="G623">
        <v>6</v>
      </c>
      <c r="H623">
        <v>3.5</v>
      </c>
      <c r="I623">
        <v>58000</v>
      </c>
      <c r="J623" s="1" t="s">
        <v>834</v>
      </c>
    </row>
    <row r="624" spans="1:10" x14ac:dyDescent="0.25">
      <c r="A624" s="1" t="s">
        <v>646</v>
      </c>
      <c r="B624">
        <v>32</v>
      </c>
      <c r="C624" s="1" t="s">
        <v>11</v>
      </c>
      <c r="D624" s="1" t="s">
        <v>16</v>
      </c>
      <c r="E624" s="1" t="s">
        <v>23</v>
      </c>
      <c r="F624">
        <v>7</v>
      </c>
      <c r="G624">
        <v>8</v>
      </c>
      <c r="H624">
        <v>3.8</v>
      </c>
      <c r="I624">
        <v>70000</v>
      </c>
      <c r="J624" s="1" t="s">
        <v>835</v>
      </c>
    </row>
    <row r="625" spans="1:10" x14ac:dyDescent="0.25">
      <c r="A625" s="1" t="s">
        <v>647</v>
      </c>
      <c r="B625">
        <v>40</v>
      </c>
      <c r="C625" s="1" t="s">
        <v>15</v>
      </c>
      <c r="D625" s="1" t="s">
        <v>22</v>
      </c>
      <c r="E625" s="1" t="s">
        <v>23</v>
      </c>
      <c r="F625">
        <v>12</v>
      </c>
      <c r="G625">
        <v>7</v>
      </c>
      <c r="H625">
        <v>3.4</v>
      </c>
      <c r="I625">
        <v>75000</v>
      </c>
      <c r="J625" s="1" t="s">
        <v>834</v>
      </c>
    </row>
    <row r="626" spans="1:10" x14ac:dyDescent="0.25">
      <c r="A626" s="1" t="s">
        <v>648</v>
      </c>
      <c r="B626">
        <v>43</v>
      </c>
      <c r="C626" s="1" t="s">
        <v>11</v>
      </c>
      <c r="D626" s="1" t="s">
        <v>25</v>
      </c>
      <c r="E626" s="1" t="s">
        <v>26</v>
      </c>
      <c r="F626">
        <v>16</v>
      </c>
      <c r="G626">
        <v>9</v>
      </c>
      <c r="H626">
        <v>4.0999999999999996</v>
      </c>
      <c r="I626">
        <v>65000</v>
      </c>
      <c r="J626" s="1" t="s">
        <v>835</v>
      </c>
    </row>
    <row r="627" spans="1:10" x14ac:dyDescent="0.25">
      <c r="A627" s="1" t="s">
        <v>649</v>
      </c>
      <c r="B627">
        <v>29</v>
      </c>
      <c r="C627" s="1" t="s">
        <v>15</v>
      </c>
      <c r="D627" s="1" t="s">
        <v>28</v>
      </c>
      <c r="E627" s="1" t="s">
        <v>20</v>
      </c>
      <c r="F627">
        <v>2</v>
      </c>
      <c r="G627">
        <v>6</v>
      </c>
      <c r="H627">
        <v>3.7</v>
      </c>
      <c r="I627">
        <v>60000</v>
      </c>
      <c r="J627" s="1" t="s">
        <v>834</v>
      </c>
    </row>
    <row r="628" spans="1:10" x14ac:dyDescent="0.25">
      <c r="A628" s="1" t="s">
        <v>650</v>
      </c>
      <c r="B628">
        <v>45</v>
      </c>
      <c r="C628" s="1" t="s">
        <v>11</v>
      </c>
      <c r="D628" s="1" t="s">
        <v>12</v>
      </c>
      <c r="E628" s="1" t="s">
        <v>17</v>
      </c>
      <c r="F628">
        <v>13</v>
      </c>
      <c r="G628">
        <v>8</v>
      </c>
      <c r="H628">
        <v>4</v>
      </c>
      <c r="I628">
        <v>64000</v>
      </c>
      <c r="J628" s="1" t="s">
        <v>835</v>
      </c>
    </row>
    <row r="629" spans="1:10" x14ac:dyDescent="0.25">
      <c r="A629" s="1" t="s">
        <v>651</v>
      </c>
      <c r="B629">
        <v>32</v>
      </c>
      <c r="C629" s="1" t="s">
        <v>15</v>
      </c>
      <c r="D629" s="1" t="s">
        <v>19</v>
      </c>
      <c r="E629" s="1" t="s">
        <v>26</v>
      </c>
      <c r="F629">
        <v>5</v>
      </c>
      <c r="G629">
        <v>9</v>
      </c>
      <c r="H629">
        <v>3.9</v>
      </c>
      <c r="I629">
        <v>61000</v>
      </c>
      <c r="J629" s="1" t="s">
        <v>834</v>
      </c>
    </row>
    <row r="630" spans="1:10" x14ac:dyDescent="0.25">
      <c r="A630" s="1" t="s">
        <v>652</v>
      </c>
      <c r="B630">
        <v>34</v>
      </c>
      <c r="C630" s="1" t="s">
        <v>11</v>
      </c>
      <c r="D630" s="1" t="s">
        <v>22</v>
      </c>
      <c r="E630" s="1" t="s">
        <v>23</v>
      </c>
      <c r="F630">
        <v>8</v>
      </c>
      <c r="G630">
        <v>7</v>
      </c>
      <c r="H630">
        <v>3.5</v>
      </c>
      <c r="I630">
        <v>59000</v>
      </c>
      <c r="J630" s="1" t="s">
        <v>835</v>
      </c>
    </row>
    <row r="631" spans="1:10" x14ac:dyDescent="0.25">
      <c r="A631" s="1" t="s">
        <v>653</v>
      </c>
      <c r="B631">
        <v>31</v>
      </c>
      <c r="C631" s="1" t="s">
        <v>15</v>
      </c>
      <c r="D631" s="1" t="s">
        <v>28</v>
      </c>
      <c r="E631" s="1" t="s">
        <v>20</v>
      </c>
      <c r="F631">
        <v>4</v>
      </c>
      <c r="G631">
        <v>6</v>
      </c>
      <c r="H631">
        <v>3.8</v>
      </c>
      <c r="I631">
        <v>61000</v>
      </c>
      <c r="J631" s="1" t="s">
        <v>834</v>
      </c>
    </row>
    <row r="632" spans="1:10" x14ac:dyDescent="0.25">
      <c r="A632" s="1" t="s">
        <v>654</v>
      </c>
      <c r="B632">
        <v>37</v>
      </c>
      <c r="C632" s="1" t="s">
        <v>11</v>
      </c>
      <c r="D632" s="1" t="s">
        <v>16</v>
      </c>
      <c r="E632" s="1" t="s">
        <v>23</v>
      </c>
      <c r="F632">
        <v>9</v>
      </c>
      <c r="G632">
        <v>8</v>
      </c>
      <c r="H632">
        <v>4.3</v>
      </c>
      <c r="I632">
        <v>76000</v>
      </c>
      <c r="J632" s="1" t="s">
        <v>835</v>
      </c>
    </row>
    <row r="633" spans="1:10" x14ac:dyDescent="0.25">
      <c r="A633" s="1" t="s">
        <v>655</v>
      </c>
      <c r="B633">
        <v>28</v>
      </c>
      <c r="C633" s="1" t="s">
        <v>15</v>
      </c>
      <c r="D633" s="1" t="s">
        <v>12</v>
      </c>
      <c r="E633" s="1" t="s">
        <v>13</v>
      </c>
      <c r="F633">
        <v>3</v>
      </c>
      <c r="G633">
        <v>6</v>
      </c>
      <c r="H633">
        <v>3.2</v>
      </c>
      <c r="I633">
        <v>58000</v>
      </c>
      <c r="J633" s="1" t="s">
        <v>834</v>
      </c>
    </row>
    <row r="634" spans="1:10" x14ac:dyDescent="0.25">
      <c r="A634" s="1" t="s">
        <v>656</v>
      </c>
      <c r="B634">
        <v>39</v>
      </c>
      <c r="C634" s="1" t="s">
        <v>11</v>
      </c>
      <c r="D634" s="1" t="s">
        <v>22</v>
      </c>
      <c r="E634" s="1" t="s">
        <v>23</v>
      </c>
      <c r="F634">
        <v>10</v>
      </c>
      <c r="G634">
        <v>7</v>
      </c>
      <c r="H634">
        <v>3.7</v>
      </c>
      <c r="I634">
        <v>70000</v>
      </c>
      <c r="J634" s="1" t="s">
        <v>835</v>
      </c>
    </row>
    <row r="635" spans="1:10" x14ac:dyDescent="0.25">
      <c r="A635" s="1" t="s">
        <v>657</v>
      </c>
      <c r="B635">
        <v>36</v>
      </c>
      <c r="C635" s="1" t="s">
        <v>15</v>
      </c>
      <c r="D635" s="1" t="s">
        <v>28</v>
      </c>
      <c r="E635" s="1" t="s">
        <v>20</v>
      </c>
      <c r="F635">
        <v>7</v>
      </c>
      <c r="G635">
        <v>8</v>
      </c>
      <c r="H635">
        <v>4</v>
      </c>
      <c r="I635">
        <v>60000</v>
      </c>
      <c r="J635" s="1" t="s">
        <v>834</v>
      </c>
    </row>
    <row r="636" spans="1:10" x14ac:dyDescent="0.25">
      <c r="A636" s="1" t="s">
        <v>658</v>
      </c>
      <c r="B636">
        <v>33</v>
      </c>
      <c r="C636" s="1" t="s">
        <v>11</v>
      </c>
      <c r="D636" s="1" t="s">
        <v>12</v>
      </c>
      <c r="E636" s="1" t="s">
        <v>17</v>
      </c>
      <c r="F636">
        <v>6</v>
      </c>
      <c r="G636">
        <v>7</v>
      </c>
      <c r="H636">
        <v>3.9</v>
      </c>
      <c r="I636">
        <v>70000</v>
      </c>
      <c r="J636" s="1" t="s">
        <v>835</v>
      </c>
    </row>
    <row r="637" spans="1:10" x14ac:dyDescent="0.25">
      <c r="A637" s="1" t="s">
        <v>659</v>
      </c>
      <c r="B637">
        <v>31</v>
      </c>
      <c r="C637" s="1" t="s">
        <v>15</v>
      </c>
      <c r="D637" s="1" t="s">
        <v>16</v>
      </c>
      <c r="E637" s="1" t="s">
        <v>23</v>
      </c>
      <c r="F637">
        <v>5</v>
      </c>
      <c r="G637">
        <v>8</v>
      </c>
      <c r="H637">
        <v>3.5</v>
      </c>
      <c r="I637">
        <v>75000</v>
      </c>
      <c r="J637" s="1" t="s">
        <v>834</v>
      </c>
    </row>
    <row r="638" spans="1:10" x14ac:dyDescent="0.25">
      <c r="A638" s="1" t="s">
        <v>660</v>
      </c>
      <c r="B638">
        <v>29</v>
      </c>
      <c r="C638" s="1" t="s">
        <v>11</v>
      </c>
      <c r="D638" s="1" t="s">
        <v>19</v>
      </c>
      <c r="E638" s="1" t="s">
        <v>26</v>
      </c>
      <c r="F638">
        <v>3</v>
      </c>
      <c r="G638">
        <v>7</v>
      </c>
      <c r="H638">
        <v>3.4</v>
      </c>
      <c r="I638">
        <v>59000</v>
      </c>
      <c r="J638" s="1" t="s">
        <v>835</v>
      </c>
    </row>
    <row r="639" spans="1:10" x14ac:dyDescent="0.25">
      <c r="A639" s="1" t="s">
        <v>661</v>
      </c>
      <c r="B639">
        <v>42</v>
      </c>
      <c r="C639" s="1" t="s">
        <v>15</v>
      </c>
      <c r="D639" s="1" t="s">
        <v>22</v>
      </c>
      <c r="E639" s="1" t="s">
        <v>23</v>
      </c>
      <c r="F639">
        <v>11</v>
      </c>
      <c r="G639">
        <v>8</v>
      </c>
      <c r="H639">
        <v>3.7</v>
      </c>
      <c r="I639">
        <v>70000</v>
      </c>
      <c r="J639" s="1" t="s">
        <v>834</v>
      </c>
    </row>
    <row r="640" spans="1:10" x14ac:dyDescent="0.25">
      <c r="A640" s="1" t="s">
        <v>662</v>
      </c>
      <c r="B640">
        <v>38</v>
      </c>
      <c r="C640" s="1" t="s">
        <v>11</v>
      </c>
      <c r="D640" s="1" t="s">
        <v>28</v>
      </c>
      <c r="E640" s="1" t="s">
        <v>20</v>
      </c>
      <c r="F640">
        <v>9</v>
      </c>
      <c r="G640">
        <v>6</v>
      </c>
      <c r="H640">
        <v>4</v>
      </c>
      <c r="I640">
        <v>60000</v>
      </c>
      <c r="J640" s="1" t="s">
        <v>835</v>
      </c>
    </row>
    <row r="641" spans="1:10" x14ac:dyDescent="0.25">
      <c r="A641" s="1" t="s">
        <v>663</v>
      </c>
      <c r="B641">
        <v>35</v>
      </c>
      <c r="C641" s="1" t="s">
        <v>15</v>
      </c>
      <c r="D641" s="1" t="s">
        <v>12</v>
      </c>
      <c r="E641" s="1" t="s">
        <v>13</v>
      </c>
      <c r="F641">
        <v>8</v>
      </c>
      <c r="G641">
        <v>9</v>
      </c>
      <c r="H641">
        <v>3.2</v>
      </c>
      <c r="I641">
        <v>58000</v>
      </c>
      <c r="J641" s="1" t="s">
        <v>834</v>
      </c>
    </row>
    <row r="642" spans="1:10" x14ac:dyDescent="0.25">
      <c r="A642" s="1" t="s">
        <v>664</v>
      </c>
      <c r="B642">
        <v>32</v>
      </c>
      <c r="C642" s="1" t="s">
        <v>11</v>
      </c>
      <c r="D642" s="1" t="s">
        <v>22</v>
      </c>
      <c r="E642" s="1" t="s">
        <v>23</v>
      </c>
      <c r="F642">
        <v>7</v>
      </c>
      <c r="G642">
        <v>7</v>
      </c>
      <c r="H642">
        <v>3.7</v>
      </c>
      <c r="I642">
        <v>70000</v>
      </c>
      <c r="J642" s="1" t="s">
        <v>835</v>
      </c>
    </row>
    <row r="643" spans="1:10" x14ac:dyDescent="0.25">
      <c r="A643" s="1" t="s">
        <v>665</v>
      </c>
      <c r="B643">
        <v>30</v>
      </c>
      <c r="C643" s="1" t="s">
        <v>15</v>
      </c>
      <c r="D643" s="1" t="s">
        <v>16</v>
      </c>
      <c r="E643" s="1" t="s">
        <v>23</v>
      </c>
      <c r="F643">
        <v>6</v>
      </c>
      <c r="G643">
        <v>8</v>
      </c>
      <c r="H643">
        <v>4</v>
      </c>
      <c r="I643">
        <v>60000</v>
      </c>
      <c r="J643" s="1" t="s">
        <v>834</v>
      </c>
    </row>
    <row r="644" spans="1:10" x14ac:dyDescent="0.25">
      <c r="A644" s="1" t="s">
        <v>666</v>
      </c>
      <c r="B644">
        <v>33</v>
      </c>
      <c r="C644" s="1" t="s">
        <v>11</v>
      </c>
      <c r="D644" s="1" t="s">
        <v>19</v>
      </c>
      <c r="E644" s="1" t="s">
        <v>26</v>
      </c>
      <c r="F644">
        <v>5</v>
      </c>
      <c r="G644">
        <v>7</v>
      </c>
      <c r="H644">
        <v>3.9</v>
      </c>
      <c r="I644">
        <v>70000</v>
      </c>
      <c r="J644" s="1" t="s">
        <v>835</v>
      </c>
    </row>
    <row r="645" spans="1:10" x14ac:dyDescent="0.25">
      <c r="A645" s="1" t="s">
        <v>667</v>
      </c>
      <c r="B645">
        <v>31</v>
      </c>
      <c r="C645" s="1" t="s">
        <v>15</v>
      </c>
      <c r="D645" s="1" t="s">
        <v>22</v>
      </c>
      <c r="E645" s="1" t="s">
        <v>23</v>
      </c>
      <c r="F645">
        <v>4</v>
      </c>
      <c r="G645">
        <v>8</v>
      </c>
      <c r="H645">
        <v>3.5</v>
      </c>
      <c r="I645">
        <v>75000</v>
      </c>
      <c r="J645" s="1" t="s">
        <v>834</v>
      </c>
    </row>
    <row r="646" spans="1:10" x14ac:dyDescent="0.25">
      <c r="A646" s="1" t="s">
        <v>668</v>
      </c>
      <c r="B646">
        <v>29</v>
      </c>
      <c r="C646" s="1" t="s">
        <v>11</v>
      </c>
      <c r="D646" s="1" t="s">
        <v>28</v>
      </c>
      <c r="E646" s="1" t="s">
        <v>20</v>
      </c>
      <c r="F646">
        <v>3</v>
      </c>
      <c r="G646">
        <v>7</v>
      </c>
      <c r="H646">
        <v>3.4</v>
      </c>
      <c r="I646">
        <v>59000</v>
      </c>
      <c r="J646" s="1" t="s">
        <v>835</v>
      </c>
    </row>
    <row r="647" spans="1:10" x14ac:dyDescent="0.25">
      <c r="A647" s="1" t="s">
        <v>669</v>
      </c>
      <c r="B647">
        <v>41</v>
      </c>
      <c r="C647" s="1" t="s">
        <v>15</v>
      </c>
      <c r="D647" s="1" t="s">
        <v>12</v>
      </c>
      <c r="E647" s="1" t="s">
        <v>13</v>
      </c>
      <c r="F647">
        <v>12</v>
      </c>
      <c r="G647">
        <v>8</v>
      </c>
      <c r="H647">
        <v>3.7</v>
      </c>
      <c r="I647">
        <v>70000</v>
      </c>
      <c r="J647" s="1" t="s">
        <v>834</v>
      </c>
    </row>
    <row r="648" spans="1:10" x14ac:dyDescent="0.25">
      <c r="A648" s="1" t="s">
        <v>670</v>
      </c>
      <c r="B648">
        <v>34</v>
      </c>
      <c r="C648" s="1" t="s">
        <v>11</v>
      </c>
      <c r="D648" s="1" t="s">
        <v>25</v>
      </c>
      <c r="E648" s="1" t="s">
        <v>26</v>
      </c>
      <c r="F648">
        <v>7</v>
      </c>
      <c r="G648">
        <v>9</v>
      </c>
      <c r="H648">
        <v>4.0999999999999996</v>
      </c>
      <c r="I648">
        <v>59000</v>
      </c>
      <c r="J648" s="1" t="s">
        <v>835</v>
      </c>
    </row>
    <row r="649" spans="1:10" x14ac:dyDescent="0.25">
      <c r="A649" s="1" t="s">
        <v>671</v>
      </c>
      <c r="B649">
        <v>27</v>
      </c>
      <c r="C649" s="1" t="s">
        <v>15</v>
      </c>
      <c r="D649" s="1" t="s">
        <v>19</v>
      </c>
      <c r="E649" s="1" t="s">
        <v>26</v>
      </c>
      <c r="F649">
        <v>2</v>
      </c>
      <c r="G649">
        <v>6</v>
      </c>
      <c r="H649">
        <v>3.8</v>
      </c>
      <c r="I649">
        <v>73000</v>
      </c>
      <c r="J649" s="1" t="s">
        <v>834</v>
      </c>
    </row>
    <row r="650" spans="1:10" x14ac:dyDescent="0.25">
      <c r="A650" s="1" t="s">
        <v>672</v>
      </c>
      <c r="B650">
        <v>35</v>
      </c>
      <c r="C650" s="1" t="s">
        <v>11</v>
      </c>
      <c r="D650" s="1" t="s">
        <v>16</v>
      </c>
      <c r="E650" s="1" t="s">
        <v>23</v>
      </c>
      <c r="F650">
        <v>8</v>
      </c>
      <c r="G650">
        <v>7</v>
      </c>
      <c r="H650">
        <v>3.5</v>
      </c>
      <c r="I650">
        <v>75000</v>
      </c>
      <c r="J650" s="1" t="s">
        <v>835</v>
      </c>
    </row>
    <row r="651" spans="1:10" x14ac:dyDescent="0.25">
      <c r="A651" s="1" t="s">
        <v>673</v>
      </c>
      <c r="B651">
        <v>33</v>
      </c>
      <c r="C651" s="1" t="s">
        <v>15</v>
      </c>
      <c r="D651" s="1" t="s">
        <v>22</v>
      </c>
      <c r="E651" s="1" t="s">
        <v>23</v>
      </c>
      <c r="F651">
        <v>6</v>
      </c>
      <c r="G651">
        <v>9</v>
      </c>
      <c r="H651">
        <v>3.4</v>
      </c>
      <c r="I651">
        <v>59000</v>
      </c>
      <c r="J651" s="1" t="s">
        <v>834</v>
      </c>
    </row>
    <row r="652" spans="1:10" x14ac:dyDescent="0.25">
      <c r="A652" s="1" t="s">
        <v>674</v>
      </c>
      <c r="B652">
        <v>30</v>
      </c>
      <c r="C652" s="1" t="s">
        <v>11</v>
      </c>
      <c r="D652" s="1" t="s">
        <v>28</v>
      </c>
      <c r="E652" s="1" t="s">
        <v>20</v>
      </c>
      <c r="F652">
        <v>4</v>
      </c>
      <c r="G652">
        <v>8</v>
      </c>
      <c r="H652">
        <v>3.7</v>
      </c>
      <c r="I652">
        <v>70000</v>
      </c>
      <c r="J652" s="1" t="s">
        <v>835</v>
      </c>
    </row>
    <row r="653" spans="1:10" x14ac:dyDescent="0.25">
      <c r="A653" s="1" t="s">
        <v>675</v>
      </c>
      <c r="B653">
        <v>29</v>
      </c>
      <c r="C653" s="1" t="s">
        <v>15</v>
      </c>
      <c r="D653" s="1" t="s">
        <v>12</v>
      </c>
      <c r="E653" s="1" t="s">
        <v>13</v>
      </c>
      <c r="F653">
        <v>3</v>
      </c>
      <c r="G653">
        <v>6</v>
      </c>
      <c r="H653">
        <v>3.2</v>
      </c>
      <c r="I653">
        <v>58000</v>
      </c>
      <c r="J653" s="1" t="s">
        <v>834</v>
      </c>
    </row>
    <row r="654" spans="1:10" x14ac:dyDescent="0.25">
      <c r="A654" s="1" t="s">
        <v>676</v>
      </c>
      <c r="B654">
        <v>43</v>
      </c>
      <c r="C654" s="1" t="s">
        <v>11</v>
      </c>
      <c r="D654" s="1" t="s">
        <v>25</v>
      </c>
      <c r="E654" s="1" t="s">
        <v>26</v>
      </c>
      <c r="F654">
        <v>13</v>
      </c>
      <c r="G654">
        <v>7</v>
      </c>
      <c r="H654">
        <v>4</v>
      </c>
      <c r="I654">
        <v>60000</v>
      </c>
      <c r="J654" s="1" t="s">
        <v>835</v>
      </c>
    </row>
    <row r="655" spans="1:10" x14ac:dyDescent="0.25">
      <c r="A655" s="1" t="s">
        <v>677</v>
      </c>
      <c r="B655">
        <v>32</v>
      </c>
      <c r="C655" s="1" t="s">
        <v>15</v>
      </c>
      <c r="D655" s="1" t="s">
        <v>19</v>
      </c>
      <c r="E655" s="1" t="s">
        <v>26</v>
      </c>
      <c r="F655">
        <v>6</v>
      </c>
      <c r="G655">
        <v>8</v>
      </c>
      <c r="H655">
        <v>3.9</v>
      </c>
      <c r="I655">
        <v>70000</v>
      </c>
      <c r="J655" s="1" t="s">
        <v>834</v>
      </c>
    </row>
    <row r="656" spans="1:10" x14ac:dyDescent="0.25">
      <c r="A656" s="1" t="s">
        <v>678</v>
      </c>
      <c r="B656">
        <v>38</v>
      </c>
      <c r="C656" s="1" t="s">
        <v>11</v>
      </c>
      <c r="D656" s="1" t="s">
        <v>16</v>
      </c>
      <c r="E656" s="1" t="s">
        <v>23</v>
      </c>
      <c r="F656">
        <v>9</v>
      </c>
      <c r="G656">
        <v>9</v>
      </c>
      <c r="H656">
        <v>4.3</v>
      </c>
      <c r="I656">
        <v>76000</v>
      </c>
      <c r="J656" s="1" t="s">
        <v>835</v>
      </c>
    </row>
    <row r="657" spans="1:10" x14ac:dyDescent="0.25">
      <c r="A657" s="1" t="s">
        <v>679</v>
      </c>
      <c r="B657">
        <v>28</v>
      </c>
      <c r="C657" s="1" t="s">
        <v>15</v>
      </c>
      <c r="D657" s="1" t="s">
        <v>22</v>
      </c>
      <c r="E657" s="1" t="s">
        <v>23</v>
      </c>
      <c r="F657">
        <v>2</v>
      </c>
      <c r="G657">
        <v>7</v>
      </c>
      <c r="H657">
        <v>3.5</v>
      </c>
      <c r="I657">
        <v>58000</v>
      </c>
      <c r="J657" s="1" t="s">
        <v>834</v>
      </c>
    </row>
    <row r="658" spans="1:10" x14ac:dyDescent="0.25">
      <c r="A658" s="1" t="s">
        <v>680</v>
      </c>
      <c r="B658">
        <v>35</v>
      </c>
      <c r="C658" s="1" t="s">
        <v>11</v>
      </c>
      <c r="D658" s="1" t="s">
        <v>28</v>
      </c>
      <c r="E658" s="1" t="s">
        <v>20</v>
      </c>
      <c r="F658">
        <v>7</v>
      </c>
      <c r="G658">
        <v>8</v>
      </c>
      <c r="H658">
        <v>3.8</v>
      </c>
      <c r="I658">
        <v>63000</v>
      </c>
      <c r="J658" s="1" t="s">
        <v>835</v>
      </c>
    </row>
    <row r="659" spans="1:10" x14ac:dyDescent="0.25">
      <c r="A659" s="1" t="s">
        <v>681</v>
      </c>
      <c r="B659">
        <v>37</v>
      </c>
      <c r="C659" s="1" t="s">
        <v>15</v>
      </c>
      <c r="D659" s="1" t="s">
        <v>12</v>
      </c>
      <c r="E659" s="1" t="s">
        <v>13</v>
      </c>
      <c r="F659">
        <v>8</v>
      </c>
      <c r="G659">
        <v>9</v>
      </c>
      <c r="H659">
        <v>4.0999999999999996</v>
      </c>
      <c r="I659">
        <v>65000</v>
      </c>
      <c r="J659" s="1" t="s">
        <v>834</v>
      </c>
    </row>
    <row r="660" spans="1:10" x14ac:dyDescent="0.25">
      <c r="A660" s="1" t="s">
        <v>682</v>
      </c>
      <c r="B660">
        <v>29</v>
      </c>
      <c r="C660" s="1" t="s">
        <v>11</v>
      </c>
      <c r="D660" s="1" t="s">
        <v>19</v>
      </c>
      <c r="E660" s="1" t="s">
        <v>26</v>
      </c>
      <c r="F660">
        <v>4</v>
      </c>
      <c r="G660">
        <v>6</v>
      </c>
      <c r="H660">
        <v>3.7</v>
      </c>
      <c r="I660">
        <v>62000</v>
      </c>
      <c r="J660" s="1" t="s">
        <v>835</v>
      </c>
    </row>
    <row r="661" spans="1:10" x14ac:dyDescent="0.25">
      <c r="A661" s="1" t="s">
        <v>683</v>
      </c>
      <c r="B661">
        <v>40</v>
      </c>
      <c r="C661" s="1" t="s">
        <v>15</v>
      </c>
      <c r="D661" s="1" t="s">
        <v>22</v>
      </c>
      <c r="E661" s="1" t="s">
        <v>23</v>
      </c>
      <c r="F661">
        <v>11</v>
      </c>
      <c r="G661">
        <v>8</v>
      </c>
      <c r="H661">
        <v>3.5</v>
      </c>
      <c r="I661">
        <v>59000</v>
      </c>
      <c r="J661" s="1" t="s">
        <v>834</v>
      </c>
    </row>
    <row r="662" spans="1:10" x14ac:dyDescent="0.25">
      <c r="A662" s="1" t="s">
        <v>684</v>
      </c>
      <c r="B662">
        <v>45</v>
      </c>
      <c r="C662" s="1" t="s">
        <v>11</v>
      </c>
      <c r="D662" s="1" t="s">
        <v>25</v>
      </c>
      <c r="E662" s="1" t="s">
        <v>26</v>
      </c>
      <c r="F662">
        <v>14</v>
      </c>
      <c r="G662">
        <v>7</v>
      </c>
      <c r="H662">
        <v>3.8</v>
      </c>
      <c r="I662">
        <v>62000</v>
      </c>
      <c r="J662" s="1" t="s">
        <v>835</v>
      </c>
    </row>
    <row r="663" spans="1:10" x14ac:dyDescent="0.25">
      <c r="A663" s="1" t="s">
        <v>685</v>
      </c>
      <c r="B663">
        <v>32</v>
      </c>
      <c r="C663" s="1" t="s">
        <v>15</v>
      </c>
      <c r="D663" s="1" t="s">
        <v>16</v>
      </c>
      <c r="E663" s="1" t="s">
        <v>23</v>
      </c>
      <c r="F663">
        <v>5</v>
      </c>
      <c r="G663">
        <v>9</v>
      </c>
      <c r="H663">
        <v>3.9</v>
      </c>
      <c r="I663">
        <v>67000</v>
      </c>
      <c r="J663" s="1" t="s">
        <v>834</v>
      </c>
    </row>
    <row r="664" spans="1:10" x14ac:dyDescent="0.25">
      <c r="A664" s="1" t="s">
        <v>686</v>
      </c>
      <c r="B664">
        <v>34</v>
      </c>
      <c r="C664" s="1" t="s">
        <v>11</v>
      </c>
      <c r="D664" s="1" t="s">
        <v>12</v>
      </c>
      <c r="E664" s="1" t="s">
        <v>13</v>
      </c>
      <c r="F664">
        <v>6</v>
      </c>
      <c r="G664">
        <v>7</v>
      </c>
      <c r="H664">
        <v>3.5</v>
      </c>
      <c r="I664">
        <v>60000</v>
      </c>
      <c r="J664" s="1" t="s">
        <v>835</v>
      </c>
    </row>
    <row r="665" spans="1:10" x14ac:dyDescent="0.25">
      <c r="A665" s="1" t="s">
        <v>687</v>
      </c>
      <c r="B665">
        <v>36</v>
      </c>
      <c r="C665" s="1" t="s">
        <v>15</v>
      </c>
      <c r="D665" s="1" t="s">
        <v>28</v>
      </c>
      <c r="E665" s="1" t="s">
        <v>20</v>
      </c>
      <c r="F665">
        <v>7</v>
      </c>
      <c r="G665">
        <v>8</v>
      </c>
      <c r="H665">
        <v>3.6</v>
      </c>
      <c r="I665">
        <v>61000</v>
      </c>
      <c r="J665" s="1" t="s">
        <v>834</v>
      </c>
    </row>
    <row r="666" spans="1:10" x14ac:dyDescent="0.25">
      <c r="A666" s="1" t="s">
        <v>688</v>
      </c>
      <c r="B666">
        <v>30</v>
      </c>
      <c r="C666" s="1" t="s">
        <v>11</v>
      </c>
      <c r="D666" s="1" t="s">
        <v>22</v>
      </c>
      <c r="E666" s="1" t="s">
        <v>23</v>
      </c>
      <c r="F666">
        <v>4</v>
      </c>
      <c r="G666">
        <v>9</v>
      </c>
      <c r="H666">
        <v>3.8</v>
      </c>
      <c r="I666">
        <v>63000</v>
      </c>
      <c r="J666" s="1" t="s">
        <v>835</v>
      </c>
    </row>
    <row r="667" spans="1:10" x14ac:dyDescent="0.25">
      <c r="A667" s="1" t="s">
        <v>689</v>
      </c>
      <c r="B667">
        <v>31</v>
      </c>
      <c r="C667" s="1" t="s">
        <v>15</v>
      </c>
      <c r="D667" s="1" t="s">
        <v>19</v>
      </c>
      <c r="E667" s="1" t="s">
        <v>26</v>
      </c>
      <c r="F667">
        <v>5</v>
      </c>
      <c r="G667">
        <v>7</v>
      </c>
      <c r="H667">
        <v>3.9</v>
      </c>
      <c r="I667">
        <v>67000</v>
      </c>
      <c r="J667" s="1" t="s">
        <v>834</v>
      </c>
    </row>
    <row r="668" spans="1:10" x14ac:dyDescent="0.25">
      <c r="A668" s="1" t="s">
        <v>690</v>
      </c>
      <c r="B668">
        <v>29</v>
      </c>
      <c r="C668" s="1" t="s">
        <v>11</v>
      </c>
      <c r="D668" s="1" t="s">
        <v>16</v>
      </c>
      <c r="E668" s="1" t="s">
        <v>23</v>
      </c>
      <c r="F668">
        <v>3</v>
      </c>
      <c r="G668">
        <v>9</v>
      </c>
      <c r="H668">
        <v>3.5</v>
      </c>
      <c r="I668">
        <v>60000</v>
      </c>
      <c r="J668" s="1" t="s">
        <v>835</v>
      </c>
    </row>
    <row r="669" spans="1:10" x14ac:dyDescent="0.25">
      <c r="A669" s="1" t="s">
        <v>691</v>
      </c>
      <c r="B669">
        <v>33</v>
      </c>
      <c r="C669" s="1" t="s">
        <v>15</v>
      </c>
      <c r="D669" s="1" t="s">
        <v>25</v>
      </c>
      <c r="E669" s="1" t="s">
        <v>26</v>
      </c>
      <c r="F669">
        <v>6</v>
      </c>
      <c r="G669">
        <v>7</v>
      </c>
      <c r="H669">
        <v>3.6</v>
      </c>
      <c r="I669">
        <v>61000</v>
      </c>
      <c r="J669" s="1" t="s">
        <v>834</v>
      </c>
    </row>
    <row r="670" spans="1:10" x14ac:dyDescent="0.25">
      <c r="A670" s="1" t="s">
        <v>692</v>
      </c>
      <c r="B670">
        <v>35</v>
      </c>
      <c r="C670" s="1" t="s">
        <v>11</v>
      </c>
      <c r="D670" s="1" t="s">
        <v>28</v>
      </c>
      <c r="E670" s="1" t="s">
        <v>20</v>
      </c>
      <c r="F670">
        <v>7</v>
      </c>
      <c r="G670">
        <v>8</v>
      </c>
      <c r="H670">
        <v>3.8</v>
      </c>
      <c r="I670">
        <v>63000</v>
      </c>
      <c r="J670" s="1" t="s">
        <v>835</v>
      </c>
    </row>
    <row r="671" spans="1:10" x14ac:dyDescent="0.25">
      <c r="A671" s="1" t="s">
        <v>693</v>
      </c>
      <c r="B671">
        <v>27</v>
      </c>
      <c r="C671" s="1" t="s">
        <v>15</v>
      </c>
      <c r="D671" s="1" t="s">
        <v>12</v>
      </c>
      <c r="E671" s="1" t="s">
        <v>13</v>
      </c>
      <c r="F671">
        <v>2</v>
      </c>
      <c r="G671">
        <v>6</v>
      </c>
      <c r="H671">
        <v>3.7</v>
      </c>
      <c r="I671">
        <v>66000</v>
      </c>
      <c r="J671" s="1" t="s">
        <v>834</v>
      </c>
    </row>
    <row r="672" spans="1:10" x14ac:dyDescent="0.25">
      <c r="A672" s="1" t="s">
        <v>694</v>
      </c>
      <c r="B672">
        <v>32</v>
      </c>
      <c r="C672" s="1" t="s">
        <v>11</v>
      </c>
      <c r="D672" s="1" t="s">
        <v>16</v>
      </c>
      <c r="E672" s="1" t="s">
        <v>23</v>
      </c>
      <c r="F672">
        <v>5</v>
      </c>
      <c r="G672">
        <v>9</v>
      </c>
      <c r="H672">
        <v>3.6</v>
      </c>
      <c r="I672">
        <v>62000</v>
      </c>
      <c r="J672" s="1" t="s">
        <v>834</v>
      </c>
    </row>
    <row r="673" spans="1:10" x14ac:dyDescent="0.25">
      <c r="A673" s="1" t="s">
        <v>695</v>
      </c>
      <c r="B673">
        <v>36</v>
      </c>
      <c r="C673" s="1" t="s">
        <v>15</v>
      </c>
      <c r="D673" s="1" t="s">
        <v>22</v>
      </c>
      <c r="E673" s="1" t="s">
        <v>23</v>
      </c>
      <c r="F673">
        <v>7</v>
      </c>
      <c r="G673">
        <v>8</v>
      </c>
      <c r="H673">
        <v>3.8</v>
      </c>
      <c r="I673">
        <v>63000</v>
      </c>
      <c r="J673" s="1" t="s">
        <v>834</v>
      </c>
    </row>
    <row r="674" spans="1:10" x14ac:dyDescent="0.25">
      <c r="A674" s="1" t="s">
        <v>696</v>
      </c>
      <c r="B674">
        <v>33</v>
      </c>
      <c r="C674" s="1" t="s">
        <v>11</v>
      </c>
      <c r="D674" s="1" t="s">
        <v>12</v>
      </c>
      <c r="E674" s="1" t="s">
        <v>13</v>
      </c>
      <c r="F674">
        <v>6</v>
      </c>
      <c r="G674">
        <v>7</v>
      </c>
      <c r="H674">
        <v>3.5</v>
      </c>
      <c r="I674">
        <v>64000</v>
      </c>
      <c r="J674" s="1" t="s">
        <v>834</v>
      </c>
    </row>
    <row r="675" spans="1:10" x14ac:dyDescent="0.25">
      <c r="A675" s="1" t="s">
        <v>697</v>
      </c>
      <c r="B675">
        <v>29</v>
      </c>
      <c r="C675" s="1" t="s">
        <v>15</v>
      </c>
      <c r="D675" s="1" t="s">
        <v>19</v>
      </c>
      <c r="E675" s="1" t="s">
        <v>26</v>
      </c>
      <c r="F675">
        <v>4</v>
      </c>
      <c r="G675">
        <v>9</v>
      </c>
      <c r="H675">
        <v>3.9</v>
      </c>
      <c r="I675">
        <v>68000</v>
      </c>
      <c r="J675" s="1" t="s">
        <v>834</v>
      </c>
    </row>
    <row r="676" spans="1:10" x14ac:dyDescent="0.25">
      <c r="A676" s="1" t="s">
        <v>698</v>
      </c>
      <c r="B676">
        <v>40</v>
      </c>
      <c r="C676" s="1" t="s">
        <v>11</v>
      </c>
      <c r="D676" s="1" t="s">
        <v>25</v>
      </c>
      <c r="E676" s="1" t="s">
        <v>26</v>
      </c>
      <c r="F676">
        <v>11</v>
      </c>
      <c r="G676">
        <v>7</v>
      </c>
      <c r="H676">
        <v>3.7</v>
      </c>
      <c r="I676">
        <v>59000</v>
      </c>
      <c r="J676" s="1" t="s">
        <v>834</v>
      </c>
    </row>
    <row r="677" spans="1:10" x14ac:dyDescent="0.25">
      <c r="A677" s="1" t="s">
        <v>699</v>
      </c>
      <c r="B677">
        <v>45</v>
      </c>
      <c r="C677" s="1" t="s">
        <v>15</v>
      </c>
      <c r="D677" s="1" t="s">
        <v>28</v>
      </c>
      <c r="E677" s="1" t="s">
        <v>20</v>
      </c>
      <c r="F677">
        <v>14</v>
      </c>
      <c r="G677">
        <v>6</v>
      </c>
      <c r="H677">
        <v>4</v>
      </c>
      <c r="I677">
        <v>70000</v>
      </c>
      <c r="J677" s="1" t="s">
        <v>834</v>
      </c>
    </row>
    <row r="678" spans="1:10" x14ac:dyDescent="0.25">
      <c r="A678" s="1" t="s">
        <v>700</v>
      </c>
      <c r="B678">
        <v>32</v>
      </c>
      <c r="C678" s="1" t="s">
        <v>11</v>
      </c>
      <c r="D678" s="1" t="s">
        <v>16</v>
      </c>
      <c r="E678" s="1" t="s">
        <v>23</v>
      </c>
      <c r="F678">
        <v>6</v>
      </c>
      <c r="G678">
        <v>8</v>
      </c>
      <c r="H678">
        <v>3.9</v>
      </c>
      <c r="I678">
        <v>67000</v>
      </c>
      <c r="J678" s="1" t="s">
        <v>834</v>
      </c>
    </row>
    <row r="679" spans="1:10" x14ac:dyDescent="0.25">
      <c r="A679" s="1" t="s">
        <v>701</v>
      </c>
      <c r="B679">
        <v>34</v>
      </c>
      <c r="C679" s="1" t="s">
        <v>15</v>
      </c>
      <c r="D679" s="1" t="s">
        <v>22</v>
      </c>
      <c r="E679" s="1" t="s">
        <v>23</v>
      </c>
      <c r="F679">
        <v>7</v>
      </c>
      <c r="G679">
        <v>9</v>
      </c>
      <c r="H679">
        <v>3.5</v>
      </c>
      <c r="I679">
        <v>65000</v>
      </c>
      <c r="J679" s="1" t="s">
        <v>834</v>
      </c>
    </row>
    <row r="680" spans="1:10" x14ac:dyDescent="0.25">
      <c r="A680" s="1" t="s">
        <v>702</v>
      </c>
      <c r="B680">
        <v>31</v>
      </c>
      <c r="C680" s="1" t="s">
        <v>11</v>
      </c>
      <c r="D680" s="1" t="s">
        <v>12</v>
      </c>
      <c r="E680" s="1" t="s">
        <v>13</v>
      </c>
      <c r="F680">
        <v>5</v>
      </c>
      <c r="G680">
        <v>7</v>
      </c>
      <c r="H680">
        <v>3.2</v>
      </c>
      <c r="I680">
        <v>63000</v>
      </c>
      <c r="J680" s="1" t="s">
        <v>834</v>
      </c>
    </row>
    <row r="681" spans="1:10" x14ac:dyDescent="0.25">
      <c r="A681" s="1" t="s">
        <v>703</v>
      </c>
      <c r="B681">
        <v>37</v>
      </c>
      <c r="C681" s="1" t="s">
        <v>15</v>
      </c>
      <c r="D681" s="1" t="s">
        <v>19</v>
      </c>
      <c r="E681" s="1" t="s">
        <v>26</v>
      </c>
      <c r="F681">
        <v>6</v>
      </c>
      <c r="G681">
        <v>8</v>
      </c>
      <c r="H681">
        <v>3.7</v>
      </c>
      <c r="I681">
        <v>67000</v>
      </c>
      <c r="J681" s="1" t="s">
        <v>834</v>
      </c>
    </row>
    <row r="682" spans="1:10" x14ac:dyDescent="0.25">
      <c r="A682" s="1" t="s">
        <v>704</v>
      </c>
      <c r="B682">
        <v>28</v>
      </c>
      <c r="C682" s="1" t="s">
        <v>11</v>
      </c>
      <c r="D682" s="1" t="s">
        <v>25</v>
      </c>
      <c r="E682" s="1" t="s">
        <v>26</v>
      </c>
      <c r="F682">
        <v>2</v>
      </c>
      <c r="G682">
        <v>9</v>
      </c>
      <c r="H682">
        <v>3.4</v>
      </c>
      <c r="I682">
        <v>59000</v>
      </c>
      <c r="J682" s="1" t="s">
        <v>834</v>
      </c>
    </row>
    <row r="683" spans="1:10" x14ac:dyDescent="0.25">
      <c r="A683" s="1" t="s">
        <v>705</v>
      </c>
      <c r="B683">
        <v>35</v>
      </c>
      <c r="C683" s="1" t="s">
        <v>15</v>
      </c>
      <c r="D683" s="1" t="s">
        <v>28</v>
      </c>
      <c r="E683" s="1" t="s">
        <v>20</v>
      </c>
      <c r="F683">
        <v>8</v>
      </c>
      <c r="G683">
        <v>7</v>
      </c>
      <c r="H683">
        <v>3.5</v>
      </c>
      <c r="I683">
        <v>60000</v>
      </c>
      <c r="J683" s="1" t="s">
        <v>834</v>
      </c>
    </row>
    <row r="684" spans="1:10" x14ac:dyDescent="0.25">
      <c r="A684" s="1" t="s">
        <v>706</v>
      </c>
      <c r="B684">
        <v>33</v>
      </c>
      <c r="C684" s="1" t="s">
        <v>11</v>
      </c>
      <c r="D684" s="1" t="s">
        <v>16</v>
      </c>
      <c r="E684" s="1" t="s">
        <v>23</v>
      </c>
      <c r="F684">
        <v>6</v>
      </c>
      <c r="G684">
        <v>8</v>
      </c>
      <c r="H684">
        <v>4.2</v>
      </c>
      <c r="I684">
        <v>75000</v>
      </c>
      <c r="J684" s="1" t="s">
        <v>834</v>
      </c>
    </row>
    <row r="685" spans="1:10" x14ac:dyDescent="0.25">
      <c r="A685" s="1" t="s">
        <v>707</v>
      </c>
      <c r="B685">
        <v>30</v>
      </c>
      <c r="C685" s="1" t="s">
        <v>15</v>
      </c>
      <c r="D685" s="1" t="s">
        <v>22</v>
      </c>
      <c r="E685" s="1" t="s">
        <v>23</v>
      </c>
      <c r="F685">
        <v>5</v>
      </c>
      <c r="G685">
        <v>9</v>
      </c>
      <c r="H685">
        <v>3.8</v>
      </c>
      <c r="I685">
        <v>68000</v>
      </c>
      <c r="J685" s="1" t="s">
        <v>834</v>
      </c>
    </row>
    <row r="686" spans="1:10" x14ac:dyDescent="0.25">
      <c r="A686" s="1" t="s">
        <v>708</v>
      </c>
      <c r="B686">
        <v>29</v>
      </c>
      <c r="C686" s="1" t="s">
        <v>11</v>
      </c>
      <c r="D686" s="1" t="s">
        <v>12</v>
      </c>
      <c r="E686" s="1" t="s">
        <v>13</v>
      </c>
      <c r="F686">
        <v>3</v>
      </c>
      <c r="G686">
        <v>7</v>
      </c>
      <c r="H686">
        <v>3.4</v>
      </c>
      <c r="I686">
        <v>61000</v>
      </c>
      <c r="J686" s="1" t="s">
        <v>834</v>
      </c>
    </row>
    <row r="687" spans="1:10" x14ac:dyDescent="0.25">
      <c r="A687" s="1" t="s">
        <v>709</v>
      </c>
      <c r="B687">
        <v>41</v>
      </c>
      <c r="C687" s="1" t="s">
        <v>15</v>
      </c>
      <c r="D687" s="1" t="s">
        <v>19</v>
      </c>
      <c r="E687" s="1" t="s">
        <v>26</v>
      </c>
      <c r="F687">
        <v>10</v>
      </c>
      <c r="G687">
        <v>6</v>
      </c>
      <c r="H687">
        <v>3.7</v>
      </c>
      <c r="I687">
        <v>63000</v>
      </c>
      <c r="J687" s="1" t="s">
        <v>834</v>
      </c>
    </row>
    <row r="688" spans="1:10" x14ac:dyDescent="0.25">
      <c r="A688" s="1" t="s">
        <v>710</v>
      </c>
      <c r="B688">
        <v>34</v>
      </c>
      <c r="C688" s="1" t="s">
        <v>11</v>
      </c>
      <c r="D688" s="1" t="s">
        <v>25</v>
      </c>
      <c r="E688" s="1" t="s">
        <v>26</v>
      </c>
      <c r="F688">
        <v>7</v>
      </c>
      <c r="G688">
        <v>9</v>
      </c>
      <c r="H688">
        <v>4.0999999999999996</v>
      </c>
      <c r="I688">
        <v>67000</v>
      </c>
      <c r="J688" s="1" t="s">
        <v>834</v>
      </c>
    </row>
    <row r="689" spans="1:10" x14ac:dyDescent="0.25">
      <c r="A689" s="1" t="s">
        <v>711</v>
      </c>
      <c r="B689">
        <v>27</v>
      </c>
      <c r="C689" s="1" t="s">
        <v>15</v>
      </c>
      <c r="D689" s="1" t="s">
        <v>28</v>
      </c>
      <c r="E689" s="1" t="s">
        <v>20</v>
      </c>
      <c r="F689">
        <v>2</v>
      </c>
      <c r="G689">
        <v>8</v>
      </c>
      <c r="H689">
        <v>3.6</v>
      </c>
      <c r="I689">
        <v>64000</v>
      </c>
      <c r="J689" s="1" t="s">
        <v>834</v>
      </c>
    </row>
    <row r="690" spans="1:10" x14ac:dyDescent="0.25">
      <c r="A690" s="1" t="s">
        <v>712</v>
      </c>
      <c r="B690">
        <v>35</v>
      </c>
      <c r="C690" s="1" t="s">
        <v>11</v>
      </c>
      <c r="D690" s="1" t="s">
        <v>16</v>
      </c>
      <c r="E690" s="1" t="s">
        <v>23</v>
      </c>
      <c r="F690">
        <v>6</v>
      </c>
      <c r="G690">
        <v>9</v>
      </c>
      <c r="H690">
        <v>3.9</v>
      </c>
      <c r="I690">
        <v>69000</v>
      </c>
      <c r="J690" s="1" t="s">
        <v>834</v>
      </c>
    </row>
    <row r="691" spans="1:10" x14ac:dyDescent="0.25">
      <c r="A691" s="1" t="s">
        <v>713</v>
      </c>
      <c r="B691">
        <v>33</v>
      </c>
      <c r="C691" s="1" t="s">
        <v>15</v>
      </c>
      <c r="D691" s="1" t="s">
        <v>22</v>
      </c>
      <c r="E691" s="1" t="s">
        <v>23</v>
      </c>
      <c r="F691">
        <v>5</v>
      </c>
      <c r="G691">
        <v>7</v>
      </c>
      <c r="H691">
        <v>3.5</v>
      </c>
      <c r="I691">
        <v>62000</v>
      </c>
      <c r="J691" s="1" t="s">
        <v>834</v>
      </c>
    </row>
    <row r="692" spans="1:10" x14ac:dyDescent="0.25">
      <c r="A692" s="1" t="s">
        <v>714</v>
      </c>
      <c r="B692">
        <v>30</v>
      </c>
      <c r="C692" s="1" t="s">
        <v>11</v>
      </c>
      <c r="D692" s="1" t="s">
        <v>12</v>
      </c>
      <c r="E692" s="1" t="s">
        <v>13</v>
      </c>
      <c r="F692">
        <v>4</v>
      </c>
      <c r="G692">
        <v>8</v>
      </c>
      <c r="H692">
        <v>3.8</v>
      </c>
      <c r="I692">
        <v>67000</v>
      </c>
      <c r="J692" s="1" t="s">
        <v>834</v>
      </c>
    </row>
    <row r="693" spans="1:10" x14ac:dyDescent="0.25">
      <c r="A693" s="1" t="s">
        <v>715</v>
      </c>
      <c r="B693">
        <v>45</v>
      </c>
      <c r="C693" s="1" t="s">
        <v>15</v>
      </c>
      <c r="D693" s="1" t="s">
        <v>19</v>
      </c>
      <c r="E693" s="1" t="s">
        <v>26</v>
      </c>
      <c r="F693">
        <v>15</v>
      </c>
      <c r="G693">
        <v>9</v>
      </c>
      <c r="H693">
        <v>3.4</v>
      </c>
      <c r="I693">
        <v>60000</v>
      </c>
      <c r="J693" s="1" t="s">
        <v>834</v>
      </c>
    </row>
    <row r="694" spans="1:10" x14ac:dyDescent="0.25">
      <c r="A694" s="1" t="s">
        <v>716</v>
      </c>
      <c r="B694">
        <v>32</v>
      </c>
      <c r="C694" s="1" t="s">
        <v>11</v>
      </c>
      <c r="D694" s="1" t="s">
        <v>25</v>
      </c>
      <c r="E694" s="1" t="s">
        <v>26</v>
      </c>
      <c r="F694">
        <v>6</v>
      </c>
      <c r="G694">
        <v>7</v>
      </c>
      <c r="H694">
        <v>3.7</v>
      </c>
      <c r="I694">
        <v>65000</v>
      </c>
      <c r="J694" s="1" t="s">
        <v>834</v>
      </c>
    </row>
    <row r="695" spans="1:10" x14ac:dyDescent="0.25">
      <c r="A695" s="1" t="s">
        <v>717</v>
      </c>
      <c r="B695">
        <v>29</v>
      </c>
      <c r="C695" s="1" t="s">
        <v>15</v>
      </c>
      <c r="D695" s="1" t="s">
        <v>28</v>
      </c>
      <c r="E695" s="1" t="s">
        <v>20</v>
      </c>
      <c r="F695">
        <v>4</v>
      </c>
      <c r="G695">
        <v>9</v>
      </c>
      <c r="H695">
        <v>4</v>
      </c>
      <c r="I695">
        <v>70000</v>
      </c>
      <c r="J695" s="1" t="s">
        <v>834</v>
      </c>
    </row>
    <row r="696" spans="1:10" x14ac:dyDescent="0.25">
      <c r="A696" s="1" t="s">
        <v>718</v>
      </c>
      <c r="B696">
        <v>39</v>
      </c>
      <c r="C696" s="1" t="s">
        <v>11</v>
      </c>
      <c r="D696" s="1" t="s">
        <v>16</v>
      </c>
      <c r="E696" s="1" t="s">
        <v>23</v>
      </c>
      <c r="F696">
        <v>8</v>
      </c>
      <c r="G696">
        <v>6</v>
      </c>
      <c r="H696">
        <v>3.9</v>
      </c>
      <c r="I696">
        <v>69000</v>
      </c>
      <c r="J696" s="1" t="s">
        <v>834</v>
      </c>
    </row>
    <row r="697" spans="1:10" x14ac:dyDescent="0.25">
      <c r="A697" s="1" t="s">
        <v>719</v>
      </c>
      <c r="B697">
        <v>36</v>
      </c>
      <c r="C697" s="1" t="s">
        <v>15</v>
      </c>
      <c r="D697" s="1" t="s">
        <v>22</v>
      </c>
      <c r="E697" s="1" t="s">
        <v>23</v>
      </c>
      <c r="F697">
        <v>7</v>
      </c>
      <c r="G697">
        <v>8</v>
      </c>
      <c r="H697">
        <v>3.5</v>
      </c>
      <c r="I697">
        <v>63000</v>
      </c>
      <c r="J697" s="1" t="s">
        <v>834</v>
      </c>
    </row>
    <row r="698" spans="1:10" x14ac:dyDescent="0.25">
      <c r="A698" s="1" t="s">
        <v>720</v>
      </c>
      <c r="B698">
        <v>33</v>
      </c>
      <c r="C698" s="1" t="s">
        <v>11</v>
      </c>
      <c r="D698" s="1" t="s">
        <v>12</v>
      </c>
      <c r="E698" s="1" t="s">
        <v>13</v>
      </c>
      <c r="F698">
        <v>6</v>
      </c>
      <c r="G698">
        <v>9</v>
      </c>
      <c r="H698">
        <v>3.6</v>
      </c>
      <c r="I698">
        <v>66000</v>
      </c>
      <c r="J698" s="1" t="s">
        <v>834</v>
      </c>
    </row>
    <row r="699" spans="1:10" x14ac:dyDescent="0.25">
      <c r="A699" s="1" t="s">
        <v>721</v>
      </c>
      <c r="B699">
        <v>30</v>
      </c>
      <c r="C699" s="1" t="s">
        <v>15</v>
      </c>
      <c r="D699" s="1" t="s">
        <v>19</v>
      </c>
      <c r="E699" s="1" t="s">
        <v>26</v>
      </c>
      <c r="F699">
        <v>5</v>
      </c>
      <c r="G699">
        <v>7</v>
      </c>
      <c r="H699">
        <v>3.2</v>
      </c>
      <c r="I699">
        <v>61000</v>
      </c>
      <c r="J699" s="1" t="s">
        <v>834</v>
      </c>
    </row>
    <row r="700" spans="1:10" x14ac:dyDescent="0.25">
      <c r="A700" s="1" t="s">
        <v>722</v>
      </c>
      <c r="B700">
        <v>42</v>
      </c>
      <c r="C700" s="1" t="s">
        <v>11</v>
      </c>
      <c r="D700" s="1" t="s">
        <v>25</v>
      </c>
      <c r="E700" s="1" t="s">
        <v>26</v>
      </c>
      <c r="F700">
        <v>12</v>
      </c>
      <c r="G700">
        <v>8</v>
      </c>
      <c r="H700">
        <v>3.7</v>
      </c>
      <c r="I700">
        <v>65000</v>
      </c>
      <c r="J700" s="1" t="s">
        <v>834</v>
      </c>
    </row>
    <row r="701" spans="1:10" x14ac:dyDescent="0.25">
      <c r="A701" s="1" t="s">
        <v>723</v>
      </c>
      <c r="B701">
        <v>35</v>
      </c>
      <c r="C701" s="1" t="s">
        <v>15</v>
      </c>
      <c r="D701" s="1" t="s">
        <v>28</v>
      </c>
      <c r="E701" s="1" t="s">
        <v>20</v>
      </c>
      <c r="F701">
        <v>7</v>
      </c>
      <c r="G701">
        <v>6</v>
      </c>
      <c r="H701">
        <v>3.9</v>
      </c>
      <c r="I701">
        <v>69000</v>
      </c>
      <c r="J701" s="1" t="s">
        <v>834</v>
      </c>
    </row>
    <row r="702" spans="1:10" x14ac:dyDescent="0.25">
      <c r="A702" s="1" t="s">
        <v>724</v>
      </c>
      <c r="B702">
        <v>29</v>
      </c>
      <c r="C702" s="1" t="s">
        <v>11</v>
      </c>
      <c r="D702" s="1" t="s">
        <v>16</v>
      </c>
      <c r="E702" s="1" t="s">
        <v>23</v>
      </c>
      <c r="F702">
        <v>3</v>
      </c>
      <c r="G702">
        <v>6</v>
      </c>
      <c r="H702">
        <v>3.4</v>
      </c>
      <c r="I702">
        <v>62000</v>
      </c>
      <c r="J702" s="1" t="s">
        <v>834</v>
      </c>
    </row>
    <row r="703" spans="1:10" x14ac:dyDescent="0.25">
      <c r="A703" s="1" t="s">
        <v>725</v>
      </c>
      <c r="B703">
        <v>33</v>
      </c>
      <c r="C703" s="1" t="s">
        <v>15</v>
      </c>
      <c r="D703" s="1" t="s">
        <v>22</v>
      </c>
      <c r="E703" s="1" t="s">
        <v>23</v>
      </c>
      <c r="F703">
        <v>6</v>
      </c>
      <c r="G703">
        <v>7</v>
      </c>
      <c r="H703">
        <v>3.5</v>
      </c>
      <c r="I703">
        <v>63000</v>
      </c>
      <c r="J703" s="1" t="s">
        <v>834</v>
      </c>
    </row>
    <row r="704" spans="1:10" x14ac:dyDescent="0.25">
      <c r="A704" s="1" t="s">
        <v>726</v>
      </c>
      <c r="B704">
        <v>31</v>
      </c>
      <c r="C704" s="1" t="s">
        <v>11</v>
      </c>
      <c r="D704" s="1" t="s">
        <v>12</v>
      </c>
      <c r="E704" s="1" t="s">
        <v>13</v>
      </c>
      <c r="F704">
        <v>5</v>
      </c>
      <c r="G704">
        <v>8</v>
      </c>
      <c r="H704">
        <v>3.6</v>
      </c>
      <c r="I704">
        <v>64000</v>
      </c>
      <c r="J704" s="1" t="s">
        <v>834</v>
      </c>
    </row>
    <row r="705" spans="1:10" x14ac:dyDescent="0.25">
      <c r="A705" s="1" t="s">
        <v>727</v>
      </c>
      <c r="B705">
        <v>37</v>
      </c>
      <c r="C705" s="1" t="s">
        <v>15</v>
      </c>
      <c r="D705" s="1" t="s">
        <v>19</v>
      </c>
      <c r="E705" s="1" t="s">
        <v>26</v>
      </c>
      <c r="F705">
        <v>6</v>
      </c>
      <c r="G705">
        <v>9</v>
      </c>
      <c r="H705">
        <v>3.7</v>
      </c>
      <c r="I705">
        <v>67000</v>
      </c>
      <c r="J705" s="1" t="s">
        <v>834</v>
      </c>
    </row>
    <row r="706" spans="1:10" x14ac:dyDescent="0.25">
      <c r="A706" s="1" t="s">
        <v>728</v>
      </c>
      <c r="B706">
        <v>28</v>
      </c>
      <c r="C706" s="1" t="s">
        <v>11</v>
      </c>
      <c r="D706" s="1" t="s">
        <v>25</v>
      </c>
      <c r="E706" s="1" t="s">
        <v>26</v>
      </c>
      <c r="F706">
        <v>2</v>
      </c>
      <c r="G706">
        <v>6</v>
      </c>
      <c r="H706">
        <v>3.8</v>
      </c>
      <c r="I706">
        <v>68000</v>
      </c>
      <c r="J706" s="1" t="s">
        <v>834</v>
      </c>
    </row>
    <row r="707" spans="1:10" x14ac:dyDescent="0.25">
      <c r="A707" s="1" t="s">
        <v>729</v>
      </c>
      <c r="B707">
        <v>35</v>
      </c>
      <c r="C707" s="1" t="s">
        <v>15</v>
      </c>
      <c r="D707" s="1" t="s">
        <v>28</v>
      </c>
      <c r="E707" s="1" t="s">
        <v>20</v>
      </c>
      <c r="F707">
        <v>7</v>
      </c>
      <c r="G707">
        <v>8</v>
      </c>
      <c r="H707">
        <v>3.5</v>
      </c>
      <c r="I707">
        <v>69000</v>
      </c>
      <c r="J707" s="1" t="s">
        <v>834</v>
      </c>
    </row>
    <row r="708" spans="1:10" x14ac:dyDescent="0.25">
      <c r="A708" s="1" t="s">
        <v>730</v>
      </c>
      <c r="B708">
        <v>33</v>
      </c>
      <c r="C708" s="1" t="s">
        <v>11</v>
      </c>
      <c r="D708" s="1" t="s">
        <v>16</v>
      </c>
      <c r="E708" s="1" t="s">
        <v>23</v>
      </c>
      <c r="F708">
        <v>6</v>
      </c>
      <c r="G708">
        <v>9</v>
      </c>
      <c r="H708">
        <v>3.4</v>
      </c>
      <c r="I708">
        <v>62000</v>
      </c>
      <c r="J708" s="1" t="s">
        <v>834</v>
      </c>
    </row>
    <row r="709" spans="1:10" x14ac:dyDescent="0.25">
      <c r="A709" s="1" t="s">
        <v>731</v>
      </c>
      <c r="B709">
        <v>30</v>
      </c>
      <c r="C709" s="1" t="s">
        <v>15</v>
      </c>
      <c r="D709" s="1" t="s">
        <v>22</v>
      </c>
      <c r="E709" s="1" t="s">
        <v>23</v>
      </c>
      <c r="F709">
        <v>5</v>
      </c>
      <c r="G709">
        <v>7</v>
      </c>
      <c r="H709">
        <v>3.5</v>
      </c>
      <c r="I709">
        <v>63000</v>
      </c>
      <c r="J709" s="1" t="s">
        <v>834</v>
      </c>
    </row>
    <row r="710" spans="1:10" x14ac:dyDescent="0.25">
      <c r="A710" s="1" t="s">
        <v>732</v>
      </c>
      <c r="B710">
        <v>27</v>
      </c>
      <c r="C710" s="1" t="s">
        <v>11</v>
      </c>
      <c r="D710" s="1" t="s">
        <v>12</v>
      </c>
      <c r="E710" s="1" t="s">
        <v>13</v>
      </c>
      <c r="F710">
        <v>3</v>
      </c>
      <c r="G710">
        <v>6</v>
      </c>
      <c r="H710">
        <v>3.6</v>
      </c>
      <c r="I710">
        <v>64000</v>
      </c>
      <c r="J710" s="1" t="s">
        <v>834</v>
      </c>
    </row>
    <row r="711" spans="1:10" x14ac:dyDescent="0.25">
      <c r="A711" s="1" t="s">
        <v>733</v>
      </c>
      <c r="B711">
        <v>35</v>
      </c>
      <c r="C711" s="1" t="s">
        <v>15</v>
      </c>
      <c r="D711" s="1" t="s">
        <v>19</v>
      </c>
      <c r="E711" s="1" t="s">
        <v>26</v>
      </c>
      <c r="F711">
        <v>8</v>
      </c>
      <c r="G711">
        <v>7</v>
      </c>
      <c r="H711">
        <v>3.7</v>
      </c>
      <c r="I711">
        <v>67000</v>
      </c>
      <c r="J711" s="1" t="s">
        <v>834</v>
      </c>
    </row>
    <row r="712" spans="1:10" x14ac:dyDescent="0.25">
      <c r="A712" s="1" t="s">
        <v>734</v>
      </c>
      <c r="B712">
        <v>32</v>
      </c>
      <c r="C712" s="1" t="s">
        <v>11</v>
      </c>
      <c r="D712" s="1" t="s">
        <v>25</v>
      </c>
      <c r="E712" s="1" t="s">
        <v>26</v>
      </c>
      <c r="F712">
        <v>6</v>
      </c>
      <c r="G712">
        <v>8</v>
      </c>
      <c r="H712">
        <v>3.8</v>
      </c>
      <c r="I712">
        <v>68000</v>
      </c>
      <c r="J712" s="1" t="s">
        <v>834</v>
      </c>
    </row>
    <row r="713" spans="1:10" x14ac:dyDescent="0.25">
      <c r="A713" s="1" t="s">
        <v>735</v>
      </c>
      <c r="B713">
        <v>30</v>
      </c>
      <c r="C713" s="1" t="s">
        <v>15</v>
      </c>
      <c r="D713" s="1" t="s">
        <v>28</v>
      </c>
      <c r="E713" s="1" t="s">
        <v>20</v>
      </c>
      <c r="F713">
        <v>4</v>
      </c>
      <c r="G713">
        <v>9</v>
      </c>
      <c r="H713">
        <v>3.9</v>
      </c>
      <c r="I713">
        <v>69000</v>
      </c>
      <c r="J713" s="1" t="s">
        <v>834</v>
      </c>
    </row>
    <row r="714" spans="1:10" x14ac:dyDescent="0.25">
      <c r="A714" s="1" t="s">
        <v>736</v>
      </c>
      <c r="B714">
        <v>29</v>
      </c>
      <c r="C714" s="1" t="s">
        <v>11</v>
      </c>
      <c r="D714" s="1" t="s">
        <v>16</v>
      </c>
      <c r="E714" s="1" t="s">
        <v>23</v>
      </c>
      <c r="F714">
        <v>3</v>
      </c>
      <c r="G714">
        <v>7</v>
      </c>
      <c r="H714">
        <v>3.5</v>
      </c>
      <c r="I714">
        <v>62000</v>
      </c>
      <c r="J714" s="1" t="s">
        <v>834</v>
      </c>
    </row>
    <row r="715" spans="1:10" x14ac:dyDescent="0.25">
      <c r="A715" s="1" t="s">
        <v>737</v>
      </c>
      <c r="B715">
        <v>41</v>
      </c>
      <c r="C715" s="1" t="s">
        <v>15</v>
      </c>
      <c r="D715" s="1" t="s">
        <v>22</v>
      </c>
      <c r="E715" s="1" t="s">
        <v>23</v>
      </c>
      <c r="F715">
        <v>10</v>
      </c>
      <c r="G715">
        <v>9</v>
      </c>
      <c r="H715">
        <v>3.4</v>
      </c>
      <c r="I715">
        <v>63000</v>
      </c>
      <c r="J715" s="1" t="s">
        <v>834</v>
      </c>
    </row>
    <row r="716" spans="1:10" x14ac:dyDescent="0.25">
      <c r="A716" s="1" t="s">
        <v>738</v>
      </c>
      <c r="B716">
        <v>34</v>
      </c>
      <c r="C716" s="1" t="s">
        <v>11</v>
      </c>
      <c r="D716" s="1" t="s">
        <v>12</v>
      </c>
      <c r="E716" s="1" t="s">
        <v>13</v>
      </c>
      <c r="F716">
        <v>7</v>
      </c>
      <c r="G716">
        <v>8</v>
      </c>
      <c r="H716">
        <v>3.5</v>
      </c>
      <c r="I716">
        <v>64000</v>
      </c>
      <c r="J716" s="1" t="s">
        <v>834</v>
      </c>
    </row>
    <row r="717" spans="1:10" x14ac:dyDescent="0.25">
      <c r="A717" s="1" t="s">
        <v>739</v>
      </c>
      <c r="B717">
        <v>32</v>
      </c>
      <c r="C717" s="1" t="s">
        <v>15</v>
      </c>
      <c r="D717" s="1" t="s">
        <v>19</v>
      </c>
      <c r="E717" s="1" t="s">
        <v>26</v>
      </c>
      <c r="F717">
        <v>5</v>
      </c>
      <c r="G717">
        <v>6</v>
      </c>
      <c r="H717">
        <v>3.6</v>
      </c>
      <c r="I717">
        <v>67000</v>
      </c>
      <c r="J717" s="1" t="s">
        <v>834</v>
      </c>
    </row>
    <row r="718" spans="1:10" x14ac:dyDescent="0.25">
      <c r="A718" s="1" t="s">
        <v>740</v>
      </c>
      <c r="B718">
        <v>38</v>
      </c>
      <c r="C718" s="1" t="s">
        <v>11</v>
      </c>
      <c r="D718" s="1" t="s">
        <v>25</v>
      </c>
      <c r="E718" s="1" t="s">
        <v>26</v>
      </c>
      <c r="F718">
        <v>9</v>
      </c>
      <c r="G718">
        <v>7</v>
      </c>
      <c r="H718">
        <v>3.7</v>
      </c>
      <c r="I718">
        <v>68000</v>
      </c>
      <c r="J718" s="1" t="s">
        <v>834</v>
      </c>
    </row>
    <row r="719" spans="1:10" x14ac:dyDescent="0.25">
      <c r="A719" s="1" t="s">
        <v>741</v>
      </c>
      <c r="B719">
        <v>27</v>
      </c>
      <c r="C719" s="1" t="s">
        <v>15</v>
      </c>
      <c r="D719" s="1" t="s">
        <v>28</v>
      </c>
      <c r="E719" s="1" t="s">
        <v>20</v>
      </c>
      <c r="F719">
        <v>2</v>
      </c>
      <c r="G719">
        <v>8</v>
      </c>
      <c r="H719">
        <v>3.8</v>
      </c>
      <c r="I719">
        <v>69000</v>
      </c>
      <c r="J719" s="1" t="s">
        <v>834</v>
      </c>
    </row>
    <row r="720" spans="1:10" x14ac:dyDescent="0.25">
      <c r="A720" s="1" t="s">
        <v>742</v>
      </c>
      <c r="B720">
        <v>35</v>
      </c>
      <c r="C720" s="1" t="s">
        <v>11</v>
      </c>
      <c r="D720" s="1" t="s">
        <v>16</v>
      </c>
      <c r="E720" s="1" t="s">
        <v>23</v>
      </c>
      <c r="F720">
        <v>6</v>
      </c>
      <c r="G720">
        <v>9</v>
      </c>
      <c r="H720">
        <v>3.9</v>
      </c>
      <c r="I720">
        <v>62000</v>
      </c>
      <c r="J720" s="1" t="s">
        <v>834</v>
      </c>
    </row>
    <row r="721" spans="1:10" x14ac:dyDescent="0.25">
      <c r="A721" s="1" t="s">
        <v>743</v>
      </c>
      <c r="B721">
        <v>33</v>
      </c>
      <c r="C721" s="1" t="s">
        <v>15</v>
      </c>
      <c r="D721" s="1" t="s">
        <v>22</v>
      </c>
      <c r="E721" s="1" t="s">
        <v>23</v>
      </c>
      <c r="F721">
        <v>5</v>
      </c>
      <c r="G721">
        <v>7</v>
      </c>
      <c r="H721">
        <v>3.5</v>
      </c>
      <c r="I721">
        <v>63000</v>
      </c>
      <c r="J721" s="1" t="s">
        <v>834</v>
      </c>
    </row>
    <row r="722" spans="1:10" x14ac:dyDescent="0.25">
      <c r="A722" s="1" t="s">
        <v>744</v>
      </c>
      <c r="B722">
        <v>30</v>
      </c>
      <c r="C722" s="1" t="s">
        <v>11</v>
      </c>
      <c r="D722" s="1" t="s">
        <v>12</v>
      </c>
      <c r="E722" s="1" t="s">
        <v>13</v>
      </c>
      <c r="F722">
        <v>4</v>
      </c>
      <c r="G722">
        <v>8</v>
      </c>
      <c r="H722">
        <v>3.6</v>
      </c>
      <c r="I722">
        <v>64000</v>
      </c>
      <c r="J722" s="1" t="s">
        <v>834</v>
      </c>
    </row>
    <row r="723" spans="1:10" x14ac:dyDescent="0.25">
      <c r="A723" s="1" t="s">
        <v>745</v>
      </c>
      <c r="B723">
        <v>45</v>
      </c>
      <c r="C723" s="1" t="s">
        <v>15</v>
      </c>
      <c r="D723" s="1" t="s">
        <v>19</v>
      </c>
      <c r="E723" s="1" t="s">
        <v>26</v>
      </c>
      <c r="F723">
        <v>15</v>
      </c>
      <c r="G723">
        <v>9</v>
      </c>
      <c r="H723">
        <v>3.7</v>
      </c>
      <c r="I723">
        <v>67000</v>
      </c>
      <c r="J723" s="1" t="s">
        <v>834</v>
      </c>
    </row>
    <row r="724" spans="1:10" x14ac:dyDescent="0.25">
      <c r="A724" s="1" t="s">
        <v>746</v>
      </c>
      <c r="B724">
        <v>32</v>
      </c>
      <c r="C724" s="1" t="s">
        <v>11</v>
      </c>
      <c r="D724" s="1" t="s">
        <v>25</v>
      </c>
      <c r="E724" s="1" t="s">
        <v>26</v>
      </c>
      <c r="F724">
        <v>6</v>
      </c>
      <c r="G724">
        <v>7</v>
      </c>
      <c r="H724">
        <v>3.8</v>
      </c>
      <c r="I724">
        <v>68000</v>
      </c>
      <c r="J724" s="1" t="s">
        <v>834</v>
      </c>
    </row>
    <row r="725" spans="1:10" x14ac:dyDescent="0.25">
      <c r="A725" s="1" t="s">
        <v>747</v>
      </c>
      <c r="B725">
        <v>29</v>
      </c>
      <c r="C725" s="1" t="s">
        <v>15</v>
      </c>
      <c r="D725" s="1" t="s">
        <v>28</v>
      </c>
      <c r="E725" s="1" t="s">
        <v>20</v>
      </c>
      <c r="F725">
        <v>4</v>
      </c>
      <c r="G725">
        <v>9</v>
      </c>
      <c r="H725">
        <v>3.9</v>
      </c>
      <c r="I725">
        <v>69000</v>
      </c>
      <c r="J725" s="1" t="s">
        <v>834</v>
      </c>
    </row>
    <row r="726" spans="1:10" x14ac:dyDescent="0.25">
      <c r="A726" s="1" t="s">
        <v>748</v>
      </c>
      <c r="B726">
        <v>39</v>
      </c>
      <c r="C726" s="1" t="s">
        <v>11</v>
      </c>
      <c r="D726" s="1" t="s">
        <v>16</v>
      </c>
      <c r="E726" s="1" t="s">
        <v>23</v>
      </c>
      <c r="F726">
        <v>8</v>
      </c>
      <c r="G726">
        <v>6</v>
      </c>
      <c r="H726">
        <v>3.4</v>
      </c>
      <c r="I726">
        <v>62000</v>
      </c>
      <c r="J726" s="1" t="s">
        <v>834</v>
      </c>
    </row>
    <row r="727" spans="1:10" x14ac:dyDescent="0.25">
      <c r="A727" s="1" t="s">
        <v>749</v>
      </c>
      <c r="B727">
        <v>36</v>
      </c>
      <c r="C727" s="1" t="s">
        <v>15</v>
      </c>
      <c r="D727" s="1" t="s">
        <v>22</v>
      </c>
      <c r="E727" s="1" t="s">
        <v>23</v>
      </c>
      <c r="F727">
        <v>7</v>
      </c>
      <c r="G727">
        <v>8</v>
      </c>
      <c r="H727">
        <v>3.5</v>
      </c>
      <c r="I727">
        <v>63000</v>
      </c>
      <c r="J727" s="1" t="s">
        <v>834</v>
      </c>
    </row>
    <row r="728" spans="1:10" x14ac:dyDescent="0.25">
      <c r="A728" s="1" t="s">
        <v>750</v>
      </c>
      <c r="B728">
        <v>33</v>
      </c>
      <c r="C728" s="1" t="s">
        <v>11</v>
      </c>
      <c r="D728" s="1" t="s">
        <v>12</v>
      </c>
      <c r="E728" s="1" t="s">
        <v>13</v>
      </c>
      <c r="F728">
        <v>6</v>
      </c>
      <c r="G728">
        <v>9</v>
      </c>
      <c r="H728">
        <v>3.6</v>
      </c>
      <c r="I728">
        <v>64000</v>
      </c>
      <c r="J728" s="1" t="s">
        <v>834</v>
      </c>
    </row>
    <row r="729" spans="1:10" x14ac:dyDescent="0.25">
      <c r="A729" s="1" t="s">
        <v>751</v>
      </c>
      <c r="B729">
        <v>30</v>
      </c>
      <c r="C729" s="1" t="s">
        <v>15</v>
      </c>
      <c r="D729" s="1" t="s">
        <v>19</v>
      </c>
      <c r="E729" s="1" t="s">
        <v>26</v>
      </c>
      <c r="F729">
        <v>5</v>
      </c>
      <c r="G729">
        <v>7</v>
      </c>
      <c r="H729">
        <v>3.7</v>
      </c>
      <c r="I729">
        <v>67000</v>
      </c>
      <c r="J729" s="1" t="s">
        <v>834</v>
      </c>
    </row>
    <row r="730" spans="1:10" x14ac:dyDescent="0.25">
      <c r="A730" s="1" t="s">
        <v>752</v>
      </c>
      <c r="B730">
        <v>42</v>
      </c>
      <c r="C730" s="1" t="s">
        <v>11</v>
      </c>
      <c r="D730" s="1" t="s">
        <v>25</v>
      </c>
      <c r="E730" s="1" t="s">
        <v>26</v>
      </c>
      <c r="F730">
        <v>12</v>
      </c>
      <c r="G730">
        <v>8</v>
      </c>
      <c r="H730">
        <v>3.8</v>
      </c>
      <c r="I730">
        <v>68000</v>
      </c>
      <c r="J730" s="1" t="s">
        <v>834</v>
      </c>
    </row>
    <row r="731" spans="1:10" x14ac:dyDescent="0.25">
      <c r="A731" s="1" t="s">
        <v>753</v>
      </c>
      <c r="B731">
        <v>35</v>
      </c>
      <c r="C731" s="1" t="s">
        <v>15</v>
      </c>
      <c r="D731" s="1" t="s">
        <v>28</v>
      </c>
      <c r="E731" s="1" t="s">
        <v>20</v>
      </c>
      <c r="F731">
        <v>7</v>
      </c>
      <c r="G731">
        <v>6</v>
      </c>
      <c r="H731">
        <v>3.9</v>
      </c>
      <c r="I731">
        <v>69000</v>
      </c>
      <c r="J731" s="1" t="s">
        <v>834</v>
      </c>
    </row>
    <row r="732" spans="1:10" x14ac:dyDescent="0.25">
      <c r="A732" s="1" t="s">
        <v>754</v>
      </c>
      <c r="B732">
        <v>29</v>
      </c>
      <c r="C732" s="1" t="s">
        <v>11</v>
      </c>
      <c r="D732" s="1" t="s">
        <v>16</v>
      </c>
      <c r="E732" s="1" t="s">
        <v>23</v>
      </c>
      <c r="F732">
        <v>3</v>
      </c>
      <c r="G732">
        <v>6</v>
      </c>
      <c r="H732">
        <v>3.4</v>
      </c>
      <c r="I732">
        <v>62000</v>
      </c>
      <c r="J732" s="1" t="s">
        <v>834</v>
      </c>
    </row>
    <row r="733" spans="1:10" x14ac:dyDescent="0.25">
      <c r="A733" s="1" t="s">
        <v>755</v>
      </c>
      <c r="B733">
        <v>33</v>
      </c>
      <c r="C733" s="1" t="s">
        <v>15</v>
      </c>
      <c r="D733" s="1" t="s">
        <v>22</v>
      </c>
      <c r="E733" s="1" t="s">
        <v>23</v>
      </c>
      <c r="F733">
        <v>6</v>
      </c>
      <c r="G733">
        <v>7</v>
      </c>
      <c r="H733">
        <v>3.5</v>
      </c>
      <c r="I733">
        <v>63000</v>
      </c>
      <c r="J733" s="1" t="s">
        <v>834</v>
      </c>
    </row>
    <row r="734" spans="1:10" x14ac:dyDescent="0.25">
      <c r="A734" s="1" t="s">
        <v>756</v>
      </c>
      <c r="B734">
        <v>31</v>
      </c>
      <c r="C734" s="1" t="s">
        <v>11</v>
      </c>
      <c r="D734" s="1" t="s">
        <v>12</v>
      </c>
      <c r="E734" s="1" t="s">
        <v>13</v>
      </c>
      <c r="F734">
        <v>5</v>
      </c>
      <c r="G734">
        <v>8</v>
      </c>
      <c r="H734">
        <v>3.6</v>
      </c>
      <c r="I734">
        <v>64000</v>
      </c>
      <c r="J734" s="1" t="s">
        <v>834</v>
      </c>
    </row>
    <row r="735" spans="1:10" x14ac:dyDescent="0.25">
      <c r="A735" s="1" t="s">
        <v>757</v>
      </c>
      <c r="B735">
        <v>37</v>
      </c>
      <c r="C735" s="1" t="s">
        <v>15</v>
      </c>
      <c r="D735" s="1" t="s">
        <v>19</v>
      </c>
      <c r="E735" s="1" t="s">
        <v>26</v>
      </c>
      <c r="F735">
        <v>6</v>
      </c>
      <c r="G735">
        <v>9</v>
      </c>
      <c r="H735">
        <v>3.7</v>
      </c>
      <c r="I735">
        <v>67000</v>
      </c>
      <c r="J735" s="1" t="s">
        <v>834</v>
      </c>
    </row>
    <row r="736" spans="1:10" x14ac:dyDescent="0.25">
      <c r="A736" s="1" t="s">
        <v>758</v>
      </c>
      <c r="B736">
        <v>28</v>
      </c>
      <c r="C736" s="1" t="s">
        <v>11</v>
      </c>
      <c r="D736" s="1" t="s">
        <v>25</v>
      </c>
      <c r="E736" s="1" t="s">
        <v>26</v>
      </c>
      <c r="F736">
        <v>2</v>
      </c>
      <c r="G736">
        <v>6</v>
      </c>
      <c r="H736">
        <v>3.8</v>
      </c>
      <c r="I736">
        <v>68000</v>
      </c>
      <c r="J736" s="1" t="s">
        <v>834</v>
      </c>
    </row>
    <row r="737" spans="1:10" x14ac:dyDescent="0.25">
      <c r="A737" s="1" t="s">
        <v>759</v>
      </c>
      <c r="B737">
        <v>35</v>
      </c>
      <c r="C737" s="1" t="s">
        <v>15</v>
      </c>
      <c r="D737" s="1" t="s">
        <v>28</v>
      </c>
      <c r="E737" s="1" t="s">
        <v>20</v>
      </c>
      <c r="F737">
        <v>7</v>
      </c>
      <c r="G737">
        <v>8</v>
      </c>
      <c r="H737">
        <v>3.5</v>
      </c>
      <c r="I737">
        <v>69000</v>
      </c>
      <c r="J737" s="1" t="s">
        <v>834</v>
      </c>
    </row>
    <row r="738" spans="1:10" x14ac:dyDescent="0.25">
      <c r="A738" s="1" t="s">
        <v>760</v>
      </c>
      <c r="B738">
        <v>33</v>
      </c>
      <c r="C738" s="1" t="s">
        <v>11</v>
      </c>
      <c r="D738" s="1" t="s">
        <v>16</v>
      </c>
      <c r="E738" s="1" t="s">
        <v>23</v>
      </c>
      <c r="F738">
        <v>6</v>
      </c>
      <c r="G738">
        <v>9</v>
      </c>
      <c r="H738">
        <v>3.4</v>
      </c>
      <c r="I738">
        <v>62000</v>
      </c>
      <c r="J738" s="1" t="s">
        <v>834</v>
      </c>
    </row>
    <row r="739" spans="1:10" x14ac:dyDescent="0.25">
      <c r="A739" s="1" t="s">
        <v>761</v>
      </c>
      <c r="B739">
        <v>30</v>
      </c>
      <c r="C739" s="1" t="s">
        <v>15</v>
      </c>
      <c r="D739" s="1" t="s">
        <v>22</v>
      </c>
      <c r="E739" s="1" t="s">
        <v>23</v>
      </c>
      <c r="F739">
        <v>5</v>
      </c>
      <c r="G739">
        <v>7</v>
      </c>
      <c r="H739">
        <v>3.5</v>
      </c>
      <c r="I739">
        <v>63000</v>
      </c>
      <c r="J739" s="1" t="s">
        <v>834</v>
      </c>
    </row>
    <row r="740" spans="1:10" x14ac:dyDescent="0.25">
      <c r="A740" s="1" t="s">
        <v>762</v>
      </c>
      <c r="B740">
        <v>27</v>
      </c>
      <c r="C740" s="1" t="s">
        <v>11</v>
      </c>
      <c r="D740" s="1" t="s">
        <v>12</v>
      </c>
      <c r="E740" s="1" t="s">
        <v>13</v>
      </c>
      <c r="F740">
        <v>3</v>
      </c>
      <c r="G740">
        <v>6</v>
      </c>
      <c r="H740">
        <v>3.6</v>
      </c>
      <c r="I740">
        <v>64000</v>
      </c>
      <c r="J740" s="1" t="s">
        <v>834</v>
      </c>
    </row>
    <row r="741" spans="1:10" x14ac:dyDescent="0.25">
      <c r="A741" s="1" t="s">
        <v>763</v>
      </c>
      <c r="B741">
        <v>35</v>
      </c>
      <c r="C741" s="1" t="s">
        <v>15</v>
      </c>
      <c r="D741" s="1" t="s">
        <v>19</v>
      </c>
      <c r="E741" s="1" t="s">
        <v>26</v>
      </c>
      <c r="F741">
        <v>8</v>
      </c>
      <c r="G741">
        <v>7</v>
      </c>
      <c r="H741">
        <v>3.7</v>
      </c>
      <c r="I741">
        <v>67000</v>
      </c>
      <c r="J741" s="1" t="s">
        <v>834</v>
      </c>
    </row>
    <row r="742" spans="1:10" x14ac:dyDescent="0.25">
      <c r="A742" s="1" t="s">
        <v>764</v>
      </c>
      <c r="B742">
        <v>32</v>
      </c>
      <c r="C742" s="1" t="s">
        <v>11</v>
      </c>
      <c r="D742" s="1" t="s">
        <v>25</v>
      </c>
      <c r="E742" s="1" t="s">
        <v>26</v>
      </c>
      <c r="F742">
        <v>6</v>
      </c>
      <c r="G742">
        <v>8</v>
      </c>
      <c r="H742">
        <v>3.8</v>
      </c>
      <c r="I742">
        <v>68000</v>
      </c>
      <c r="J742" s="1" t="s">
        <v>834</v>
      </c>
    </row>
    <row r="743" spans="1:10" x14ac:dyDescent="0.25">
      <c r="A743" s="1" t="s">
        <v>765</v>
      </c>
      <c r="B743">
        <v>30</v>
      </c>
      <c r="C743" s="1" t="s">
        <v>15</v>
      </c>
      <c r="D743" s="1" t="s">
        <v>28</v>
      </c>
      <c r="E743" s="1" t="s">
        <v>20</v>
      </c>
      <c r="F743">
        <v>4</v>
      </c>
      <c r="G743">
        <v>9</v>
      </c>
      <c r="H743">
        <v>3.9</v>
      </c>
      <c r="I743">
        <v>69000</v>
      </c>
      <c r="J743" s="1" t="s">
        <v>834</v>
      </c>
    </row>
    <row r="744" spans="1:10" x14ac:dyDescent="0.25">
      <c r="A744" s="1" t="s">
        <v>766</v>
      </c>
      <c r="B744">
        <v>29</v>
      </c>
      <c r="C744" s="1" t="s">
        <v>11</v>
      </c>
      <c r="D744" s="1" t="s">
        <v>16</v>
      </c>
      <c r="E744" s="1" t="s">
        <v>23</v>
      </c>
      <c r="F744">
        <v>3</v>
      </c>
      <c r="G744">
        <v>7</v>
      </c>
      <c r="H744">
        <v>3.5</v>
      </c>
      <c r="I744">
        <v>62000</v>
      </c>
      <c r="J744" s="1" t="s">
        <v>834</v>
      </c>
    </row>
    <row r="745" spans="1:10" x14ac:dyDescent="0.25">
      <c r="A745" s="1" t="s">
        <v>767</v>
      </c>
      <c r="B745">
        <v>41</v>
      </c>
      <c r="C745" s="1" t="s">
        <v>15</v>
      </c>
      <c r="D745" s="1" t="s">
        <v>22</v>
      </c>
      <c r="E745" s="1" t="s">
        <v>23</v>
      </c>
      <c r="F745">
        <v>10</v>
      </c>
      <c r="G745">
        <v>9</v>
      </c>
      <c r="H745">
        <v>3.4</v>
      </c>
      <c r="I745">
        <v>63000</v>
      </c>
      <c r="J745" s="1" t="s">
        <v>834</v>
      </c>
    </row>
    <row r="746" spans="1:10" x14ac:dyDescent="0.25">
      <c r="A746" s="1" t="s">
        <v>768</v>
      </c>
      <c r="B746">
        <v>34</v>
      </c>
      <c r="C746" s="1" t="s">
        <v>11</v>
      </c>
      <c r="D746" s="1" t="s">
        <v>12</v>
      </c>
      <c r="E746" s="1" t="s">
        <v>13</v>
      </c>
      <c r="F746">
        <v>7</v>
      </c>
      <c r="G746">
        <v>8</v>
      </c>
      <c r="H746">
        <v>3.5</v>
      </c>
      <c r="I746">
        <v>64000</v>
      </c>
      <c r="J746" s="1" t="s">
        <v>834</v>
      </c>
    </row>
    <row r="747" spans="1:10" x14ac:dyDescent="0.25">
      <c r="A747" s="1" t="s">
        <v>769</v>
      </c>
      <c r="B747">
        <v>32</v>
      </c>
      <c r="C747" s="1" t="s">
        <v>15</v>
      </c>
      <c r="D747" s="1" t="s">
        <v>19</v>
      </c>
      <c r="E747" s="1" t="s">
        <v>26</v>
      </c>
      <c r="F747">
        <v>5</v>
      </c>
      <c r="G747">
        <v>6</v>
      </c>
      <c r="H747">
        <v>3.6</v>
      </c>
      <c r="I747">
        <v>67000</v>
      </c>
      <c r="J747" s="1" t="s">
        <v>834</v>
      </c>
    </row>
    <row r="748" spans="1:10" x14ac:dyDescent="0.25">
      <c r="A748" s="1" t="s">
        <v>770</v>
      </c>
      <c r="B748">
        <v>38</v>
      </c>
      <c r="C748" s="1" t="s">
        <v>11</v>
      </c>
      <c r="D748" s="1" t="s">
        <v>25</v>
      </c>
      <c r="E748" s="1" t="s">
        <v>26</v>
      </c>
      <c r="F748">
        <v>9</v>
      </c>
      <c r="G748">
        <v>7</v>
      </c>
      <c r="H748">
        <v>3.7</v>
      </c>
      <c r="I748">
        <v>68000</v>
      </c>
      <c r="J748" s="1" t="s">
        <v>834</v>
      </c>
    </row>
    <row r="749" spans="1:10" x14ac:dyDescent="0.25">
      <c r="A749" s="1" t="s">
        <v>771</v>
      </c>
      <c r="B749">
        <v>27</v>
      </c>
      <c r="C749" s="1" t="s">
        <v>15</v>
      </c>
      <c r="D749" s="1" t="s">
        <v>28</v>
      </c>
      <c r="E749" s="1" t="s">
        <v>20</v>
      </c>
      <c r="F749">
        <v>2</v>
      </c>
      <c r="G749">
        <v>8</v>
      </c>
      <c r="H749">
        <v>3.8</v>
      </c>
      <c r="I749">
        <v>69000</v>
      </c>
      <c r="J749" s="1" t="s">
        <v>834</v>
      </c>
    </row>
    <row r="750" spans="1:10" x14ac:dyDescent="0.25">
      <c r="A750" s="1" t="s">
        <v>772</v>
      </c>
      <c r="B750">
        <v>35</v>
      </c>
      <c r="C750" s="1" t="s">
        <v>11</v>
      </c>
      <c r="D750" s="1" t="s">
        <v>16</v>
      </c>
      <c r="E750" s="1" t="s">
        <v>23</v>
      </c>
      <c r="F750">
        <v>6</v>
      </c>
      <c r="G750">
        <v>9</v>
      </c>
      <c r="H750">
        <v>3.9</v>
      </c>
      <c r="I750">
        <v>62000</v>
      </c>
      <c r="J750" s="1" t="s">
        <v>834</v>
      </c>
    </row>
    <row r="751" spans="1:10" x14ac:dyDescent="0.25">
      <c r="A751" s="1" t="s">
        <v>773</v>
      </c>
      <c r="B751">
        <v>33</v>
      </c>
      <c r="C751" s="1" t="s">
        <v>15</v>
      </c>
      <c r="D751" s="1" t="s">
        <v>22</v>
      </c>
      <c r="E751" s="1" t="s">
        <v>23</v>
      </c>
      <c r="F751">
        <v>5</v>
      </c>
      <c r="G751">
        <v>7</v>
      </c>
      <c r="H751">
        <v>3.5</v>
      </c>
      <c r="I751">
        <v>63000</v>
      </c>
      <c r="J751" s="1" t="s">
        <v>834</v>
      </c>
    </row>
    <row r="752" spans="1:10" x14ac:dyDescent="0.25">
      <c r="A752" s="1" t="s">
        <v>774</v>
      </c>
      <c r="B752">
        <v>30</v>
      </c>
      <c r="C752" s="1" t="s">
        <v>11</v>
      </c>
      <c r="D752" s="1" t="s">
        <v>12</v>
      </c>
      <c r="E752" s="1" t="s">
        <v>13</v>
      </c>
      <c r="F752">
        <v>4</v>
      </c>
      <c r="G752">
        <v>8</v>
      </c>
      <c r="H752">
        <v>3.6</v>
      </c>
      <c r="I752">
        <v>64000</v>
      </c>
      <c r="J752" s="1" t="s">
        <v>834</v>
      </c>
    </row>
    <row r="753" spans="1:10" x14ac:dyDescent="0.25">
      <c r="A753" s="1" t="s">
        <v>775</v>
      </c>
      <c r="B753">
        <v>45</v>
      </c>
      <c r="C753" s="1" t="s">
        <v>15</v>
      </c>
      <c r="D753" s="1" t="s">
        <v>19</v>
      </c>
      <c r="E753" s="1" t="s">
        <v>26</v>
      </c>
      <c r="F753">
        <v>15</v>
      </c>
      <c r="G753">
        <v>9</v>
      </c>
      <c r="H753">
        <v>3.7</v>
      </c>
      <c r="I753">
        <v>67000</v>
      </c>
      <c r="J753" s="1" t="s">
        <v>834</v>
      </c>
    </row>
    <row r="754" spans="1:10" x14ac:dyDescent="0.25">
      <c r="A754" s="1" t="s">
        <v>776</v>
      </c>
      <c r="B754">
        <v>32</v>
      </c>
      <c r="C754" s="1" t="s">
        <v>11</v>
      </c>
      <c r="D754" s="1" t="s">
        <v>25</v>
      </c>
      <c r="E754" s="1" t="s">
        <v>26</v>
      </c>
      <c r="F754">
        <v>6</v>
      </c>
      <c r="G754">
        <v>7</v>
      </c>
      <c r="H754">
        <v>3.8</v>
      </c>
      <c r="I754">
        <v>68000</v>
      </c>
      <c r="J754" s="1" t="s">
        <v>834</v>
      </c>
    </row>
    <row r="755" spans="1:10" x14ac:dyDescent="0.25">
      <c r="A755" s="1" t="s">
        <v>777</v>
      </c>
      <c r="B755">
        <v>29</v>
      </c>
      <c r="C755" s="1" t="s">
        <v>15</v>
      </c>
      <c r="D755" s="1" t="s">
        <v>28</v>
      </c>
      <c r="E755" s="1" t="s">
        <v>20</v>
      </c>
      <c r="F755">
        <v>4</v>
      </c>
      <c r="G755">
        <v>9</v>
      </c>
      <c r="H755">
        <v>3.9</v>
      </c>
      <c r="I755">
        <v>69000</v>
      </c>
      <c r="J755" s="1" t="s">
        <v>834</v>
      </c>
    </row>
    <row r="756" spans="1:10" x14ac:dyDescent="0.25">
      <c r="A756" s="1" t="s">
        <v>778</v>
      </c>
      <c r="B756">
        <v>39</v>
      </c>
      <c r="C756" s="1" t="s">
        <v>11</v>
      </c>
      <c r="D756" s="1" t="s">
        <v>16</v>
      </c>
      <c r="E756" s="1" t="s">
        <v>23</v>
      </c>
      <c r="F756">
        <v>8</v>
      </c>
      <c r="G756">
        <v>6</v>
      </c>
      <c r="H756">
        <v>3.4</v>
      </c>
      <c r="I756">
        <v>62000</v>
      </c>
      <c r="J756" s="1" t="s">
        <v>834</v>
      </c>
    </row>
    <row r="757" spans="1:10" x14ac:dyDescent="0.25">
      <c r="A757" s="1" t="s">
        <v>779</v>
      </c>
      <c r="B757">
        <v>36</v>
      </c>
      <c r="C757" s="1" t="s">
        <v>15</v>
      </c>
      <c r="D757" s="1" t="s">
        <v>22</v>
      </c>
      <c r="E757" s="1" t="s">
        <v>23</v>
      </c>
      <c r="F757">
        <v>7</v>
      </c>
      <c r="G757">
        <v>8</v>
      </c>
      <c r="H757">
        <v>3.5</v>
      </c>
      <c r="I757">
        <v>63000</v>
      </c>
      <c r="J757" s="1" t="s">
        <v>834</v>
      </c>
    </row>
    <row r="758" spans="1:10" x14ac:dyDescent="0.25">
      <c r="A758" s="1" t="s">
        <v>780</v>
      </c>
      <c r="B758">
        <v>33</v>
      </c>
      <c r="C758" s="1" t="s">
        <v>11</v>
      </c>
      <c r="D758" s="1" t="s">
        <v>12</v>
      </c>
      <c r="E758" s="1" t="s">
        <v>13</v>
      </c>
      <c r="F758">
        <v>6</v>
      </c>
      <c r="G758">
        <v>9</v>
      </c>
      <c r="H758">
        <v>3.6</v>
      </c>
      <c r="I758">
        <v>64000</v>
      </c>
      <c r="J758" s="1" t="s">
        <v>834</v>
      </c>
    </row>
    <row r="759" spans="1:10" x14ac:dyDescent="0.25">
      <c r="A759" s="1" t="s">
        <v>781</v>
      </c>
      <c r="B759">
        <v>30</v>
      </c>
      <c r="C759" s="1" t="s">
        <v>15</v>
      </c>
      <c r="D759" s="1" t="s">
        <v>19</v>
      </c>
      <c r="E759" s="1" t="s">
        <v>26</v>
      </c>
      <c r="F759">
        <v>5</v>
      </c>
      <c r="G759">
        <v>7</v>
      </c>
      <c r="H759">
        <v>3.7</v>
      </c>
      <c r="I759">
        <v>67000</v>
      </c>
      <c r="J759" s="1" t="s">
        <v>834</v>
      </c>
    </row>
    <row r="760" spans="1:10" x14ac:dyDescent="0.25">
      <c r="A760" s="1" t="s">
        <v>782</v>
      </c>
      <c r="B760">
        <v>42</v>
      </c>
      <c r="C760" s="1" t="s">
        <v>11</v>
      </c>
      <c r="D760" s="1" t="s">
        <v>25</v>
      </c>
      <c r="E760" s="1" t="s">
        <v>26</v>
      </c>
      <c r="F760">
        <v>12</v>
      </c>
      <c r="G760">
        <v>8</v>
      </c>
      <c r="H760">
        <v>3.8</v>
      </c>
      <c r="I760">
        <v>68000</v>
      </c>
      <c r="J760" s="1" t="s">
        <v>834</v>
      </c>
    </row>
    <row r="761" spans="1:10" x14ac:dyDescent="0.25">
      <c r="A761" s="1" t="s">
        <v>783</v>
      </c>
      <c r="B761">
        <v>35</v>
      </c>
      <c r="C761" s="1" t="s">
        <v>15</v>
      </c>
      <c r="D761" s="1" t="s">
        <v>28</v>
      </c>
      <c r="E761" s="1" t="s">
        <v>20</v>
      </c>
      <c r="F761">
        <v>7</v>
      </c>
      <c r="G761">
        <v>6</v>
      </c>
      <c r="H761">
        <v>3.9</v>
      </c>
      <c r="I761">
        <v>69000</v>
      </c>
      <c r="J761" s="1" t="s">
        <v>834</v>
      </c>
    </row>
    <row r="762" spans="1:10" x14ac:dyDescent="0.25">
      <c r="A762" s="1" t="s">
        <v>784</v>
      </c>
      <c r="B762">
        <v>29</v>
      </c>
      <c r="C762" s="1" t="s">
        <v>11</v>
      </c>
      <c r="D762" s="1" t="s">
        <v>16</v>
      </c>
      <c r="E762" s="1" t="s">
        <v>23</v>
      </c>
      <c r="F762">
        <v>3</v>
      </c>
      <c r="G762">
        <v>7</v>
      </c>
      <c r="H762">
        <v>3.5</v>
      </c>
      <c r="I762">
        <v>62000</v>
      </c>
      <c r="J762" s="1" t="s">
        <v>834</v>
      </c>
    </row>
    <row r="763" spans="1:10" x14ac:dyDescent="0.25">
      <c r="A763" s="1" t="s">
        <v>785</v>
      </c>
      <c r="B763">
        <v>33</v>
      </c>
      <c r="C763" s="1" t="s">
        <v>15</v>
      </c>
      <c r="D763" s="1" t="s">
        <v>22</v>
      </c>
      <c r="E763" s="1" t="s">
        <v>23</v>
      </c>
      <c r="F763">
        <v>6</v>
      </c>
      <c r="G763">
        <v>9</v>
      </c>
      <c r="H763">
        <v>3.4</v>
      </c>
      <c r="I763">
        <v>63000</v>
      </c>
      <c r="J763" s="1" t="s">
        <v>834</v>
      </c>
    </row>
    <row r="764" spans="1:10" x14ac:dyDescent="0.25">
      <c r="A764" s="1" t="s">
        <v>786</v>
      </c>
      <c r="B764">
        <v>31</v>
      </c>
      <c r="C764" s="1" t="s">
        <v>11</v>
      </c>
      <c r="D764" s="1" t="s">
        <v>12</v>
      </c>
      <c r="E764" s="1" t="s">
        <v>13</v>
      </c>
      <c r="F764">
        <v>5</v>
      </c>
      <c r="G764">
        <v>8</v>
      </c>
      <c r="H764">
        <v>3.5</v>
      </c>
      <c r="I764">
        <v>64000</v>
      </c>
      <c r="J764" s="1" t="s">
        <v>834</v>
      </c>
    </row>
    <row r="765" spans="1:10" x14ac:dyDescent="0.25">
      <c r="A765" s="1" t="s">
        <v>787</v>
      </c>
      <c r="B765">
        <v>37</v>
      </c>
      <c r="C765" s="1" t="s">
        <v>15</v>
      </c>
      <c r="D765" s="1" t="s">
        <v>19</v>
      </c>
      <c r="E765" s="1" t="s">
        <v>26</v>
      </c>
      <c r="F765">
        <v>6</v>
      </c>
      <c r="G765">
        <v>9</v>
      </c>
      <c r="H765">
        <v>3.7</v>
      </c>
      <c r="I765">
        <v>67000</v>
      </c>
      <c r="J765" s="1" t="s">
        <v>834</v>
      </c>
    </row>
    <row r="766" spans="1:10" x14ac:dyDescent="0.25">
      <c r="A766" s="1" t="s">
        <v>788</v>
      </c>
      <c r="B766">
        <v>28</v>
      </c>
      <c r="C766" s="1" t="s">
        <v>11</v>
      </c>
      <c r="D766" s="1" t="s">
        <v>25</v>
      </c>
      <c r="E766" s="1" t="s">
        <v>26</v>
      </c>
      <c r="F766">
        <v>2</v>
      </c>
      <c r="G766">
        <v>6</v>
      </c>
      <c r="H766">
        <v>3.8</v>
      </c>
      <c r="I766">
        <v>68000</v>
      </c>
      <c r="J766" s="1" t="s">
        <v>834</v>
      </c>
    </row>
    <row r="767" spans="1:10" x14ac:dyDescent="0.25">
      <c r="A767" s="1" t="s">
        <v>789</v>
      </c>
      <c r="B767">
        <v>35</v>
      </c>
      <c r="C767" s="1" t="s">
        <v>15</v>
      </c>
      <c r="D767" s="1" t="s">
        <v>28</v>
      </c>
      <c r="E767" s="1" t="s">
        <v>20</v>
      </c>
      <c r="F767">
        <v>7</v>
      </c>
      <c r="G767">
        <v>8</v>
      </c>
      <c r="H767">
        <v>3.5</v>
      </c>
      <c r="I767">
        <v>69000</v>
      </c>
      <c r="J767" s="1" t="s">
        <v>834</v>
      </c>
    </row>
    <row r="768" spans="1:10" x14ac:dyDescent="0.25">
      <c r="A768" s="1" t="s">
        <v>790</v>
      </c>
      <c r="B768">
        <v>33</v>
      </c>
      <c r="C768" s="1" t="s">
        <v>11</v>
      </c>
      <c r="D768" s="1" t="s">
        <v>16</v>
      </c>
      <c r="E768" s="1" t="s">
        <v>23</v>
      </c>
      <c r="F768">
        <v>6</v>
      </c>
      <c r="G768">
        <v>9</v>
      </c>
      <c r="H768">
        <v>3.4</v>
      </c>
      <c r="I768">
        <v>62000</v>
      </c>
      <c r="J768" s="1" t="s">
        <v>834</v>
      </c>
    </row>
    <row r="769" spans="1:10" x14ac:dyDescent="0.25">
      <c r="A769" s="1" t="s">
        <v>791</v>
      </c>
      <c r="B769">
        <v>30</v>
      </c>
      <c r="C769" s="1" t="s">
        <v>15</v>
      </c>
      <c r="D769" s="1" t="s">
        <v>22</v>
      </c>
      <c r="E769" s="1" t="s">
        <v>23</v>
      </c>
      <c r="F769">
        <v>5</v>
      </c>
      <c r="G769">
        <v>7</v>
      </c>
      <c r="H769">
        <v>3.5</v>
      </c>
      <c r="I769">
        <v>63000</v>
      </c>
      <c r="J769" s="1" t="s">
        <v>834</v>
      </c>
    </row>
    <row r="770" spans="1:10" x14ac:dyDescent="0.25">
      <c r="A770" s="1" t="s">
        <v>792</v>
      </c>
      <c r="B770">
        <v>27</v>
      </c>
      <c r="C770" s="1" t="s">
        <v>11</v>
      </c>
      <c r="D770" s="1" t="s">
        <v>12</v>
      </c>
      <c r="E770" s="1" t="s">
        <v>13</v>
      </c>
      <c r="F770">
        <v>3</v>
      </c>
      <c r="G770">
        <v>6</v>
      </c>
      <c r="H770">
        <v>3.6</v>
      </c>
      <c r="I770">
        <v>64000</v>
      </c>
      <c r="J770" s="1" t="s">
        <v>834</v>
      </c>
    </row>
    <row r="771" spans="1:10" x14ac:dyDescent="0.25">
      <c r="A771" s="1" t="s">
        <v>793</v>
      </c>
      <c r="B771">
        <v>35</v>
      </c>
      <c r="C771" s="1" t="s">
        <v>15</v>
      </c>
      <c r="D771" s="1" t="s">
        <v>19</v>
      </c>
      <c r="E771" s="1" t="s">
        <v>26</v>
      </c>
      <c r="F771">
        <v>8</v>
      </c>
      <c r="G771">
        <v>7</v>
      </c>
      <c r="H771">
        <v>3.7</v>
      </c>
      <c r="I771">
        <v>67000</v>
      </c>
      <c r="J771" s="1" t="s">
        <v>834</v>
      </c>
    </row>
    <row r="772" spans="1:10" x14ac:dyDescent="0.25">
      <c r="A772" s="1" t="s">
        <v>794</v>
      </c>
      <c r="B772">
        <v>32</v>
      </c>
      <c r="C772" s="1" t="s">
        <v>11</v>
      </c>
      <c r="D772" s="1" t="s">
        <v>25</v>
      </c>
      <c r="E772" s="1" t="s">
        <v>26</v>
      </c>
      <c r="F772">
        <v>6</v>
      </c>
      <c r="G772">
        <v>8</v>
      </c>
      <c r="H772">
        <v>3.8</v>
      </c>
      <c r="I772">
        <v>68000</v>
      </c>
      <c r="J772" s="1" t="s">
        <v>834</v>
      </c>
    </row>
    <row r="773" spans="1:10" x14ac:dyDescent="0.25">
      <c r="A773" s="1" t="s">
        <v>795</v>
      </c>
      <c r="B773">
        <v>30</v>
      </c>
      <c r="C773" s="1" t="s">
        <v>15</v>
      </c>
      <c r="D773" s="1" t="s">
        <v>28</v>
      </c>
      <c r="E773" s="1" t="s">
        <v>20</v>
      </c>
      <c r="F773">
        <v>4</v>
      </c>
      <c r="G773">
        <v>9</v>
      </c>
      <c r="H773">
        <v>3.9</v>
      </c>
      <c r="I773">
        <v>69000</v>
      </c>
      <c r="J773" s="1" t="s">
        <v>834</v>
      </c>
    </row>
    <row r="774" spans="1:10" x14ac:dyDescent="0.25">
      <c r="A774" s="1" t="s">
        <v>796</v>
      </c>
      <c r="B774">
        <v>29</v>
      </c>
      <c r="C774" s="1" t="s">
        <v>11</v>
      </c>
      <c r="D774" s="1" t="s">
        <v>16</v>
      </c>
      <c r="E774" s="1" t="s">
        <v>23</v>
      </c>
      <c r="F774">
        <v>3</v>
      </c>
      <c r="G774">
        <v>7</v>
      </c>
      <c r="H774">
        <v>3.5</v>
      </c>
      <c r="I774">
        <v>62000</v>
      </c>
      <c r="J774" s="1" t="s">
        <v>834</v>
      </c>
    </row>
    <row r="775" spans="1:10" x14ac:dyDescent="0.25">
      <c r="A775" s="1" t="s">
        <v>797</v>
      </c>
      <c r="B775">
        <v>41</v>
      </c>
      <c r="C775" s="1" t="s">
        <v>15</v>
      </c>
      <c r="D775" s="1" t="s">
        <v>22</v>
      </c>
      <c r="E775" s="1" t="s">
        <v>23</v>
      </c>
      <c r="F775">
        <v>10</v>
      </c>
      <c r="G775">
        <v>9</v>
      </c>
      <c r="H775">
        <v>3.4</v>
      </c>
      <c r="I775">
        <v>63000</v>
      </c>
      <c r="J775" s="1" t="s">
        <v>834</v>
      </c>
    </row>
    <row r="776" spans="1:10" x14ac:dyDescent="0.25">
      <c r="A776" s="1" t="s">
        <v>798</v>
      </c>
      <c r="B776">
        <v>34</v>
      </c>
      <c r="C776" s="1" t="s">
        <v>11</v>
      </c>
      <c r="D776" s="1" t="s">
        <v>12</v>
      </c>
      <c r="E776" s="1" t="s">
        <v>13</v>
      </c>
      <c r="F776">
        <v>7</v>
      </c>
      <c r="G776">
        <v>8</v>
      </c>
      <c r="H776">
        <v>3.5</v>
      </c>
      <c r="I776">
        <v>64000</v>
      </c>
      <c r="J776" s="1" t="s">
        <v>834</v>
      </c>
    </row>
    <row r="777" spans="1:10" x14ac:dyDescent="0.25">
      <c r="A777" s="1" t="s">
        <v>799</v>
      </c>
      <c r="B777">
        <v>32</v>
      </c>
      <c r="C777" s="1" t="s">
        <v>15</v>
      </c>
      <c r="D777" s="1" t="s">
        <v>19</v>
      </c>
      <c r="E777" s="1" t="s">
        <v>26</v>
      </c>
      <c r="F777">
        <v>5</v>
      </c>
      <c r="G777">
        <v>6</v>
      </c>
      <c r="H777">
        <v>3.6</v>
      </c>
      <c r="I777">
        <v>67000</v>
      </c>
      <c r="J777" s="1" t="s">
        <v>834</v>
      </c>
    </row>
    <row r="778" spans="1:10" x14ac:dyDescent="0.25">
      <c r="A778" s="1" t="s">
        <v>800</v>
      </c>
      <c r="B778">
        <v>38</v>
      </c>
      <c r="C778" s="1" t="s">
        <v>11</v>
      </c>
      <c r="D778" s="1" t="s">
        <v>25</v>
      </c>
      <c r="E778" s="1" t="s">
        <v>26</v>
      </c>
      <c r="F778">
        <v>9</v>
      </c>
      <c r="G778">
        <v>7</v>
      </c>
      <c r="H778">
        <v>3.7</v>
      </c>
      <c r="I778">
        <v>68000</v>
      </c>
      <c r="J778" s="1" t="s">
        <v>834</v>
      </c>
    </row>
    <row r="779" spans="1:10" x14ac:dyDescent="0.25">
      <c r="A779" s="1" t="s">
        <v>801</v>
      </c>
      <c r="B779">
        <v>27</v>
      </c>
      <c r="C779" s="1" t="s">
        <v>15</v>
      </c>
      <c r="D779" s="1" t="s">
        <v>28</v>
      </c>
      <c r="E779" s="1" t="s">
        <v>20</v>
      </c>
      <c r="F779">
        <v>2</v>
      </c>
      <c r="G779">
        <v>8</v>
      </c>
      <c r="H779">
        <v>3.8</v>
      </c>
      <c r="I779">
        <v>69000</v>
      </c>
      <c r="J779" s="1" t="s">
        <v>834</v>
      </c>
    </row>
    <row r="780" spans="1:10" x14ac:dyDescent="0.25">
      <c r="A780" s="1" t="s">
        <v>802</v>
      </c>
      <c r="B780">
        <v>35</v>
      </c>
      <c r="C780" s="1" t="s">
        <v>11</v>
      </c>
      <c r="D780" s="1" t="s">
        <v>16</v>
      </c>
      <c r="E780" s="1" t="s">
        <v>23</v>
      </c>
      <c r="F780">
        <v>6</v>
      </c>
      <c r="G780">
        <v>9</v>
      </c>
      <c r="H780">
        <v>3.9</v>
      </c>
      <c r="I780">
        <v>62000</v>
      </c>
      <c r="J780" s="1" t="s">
        <v>834</v>
      </c>
    </row>
    <row r="781" spans="1:10" x14ac:dyDescent="0.25">
      <c r="A781" s="1" t="s">
        <v>803</v>
      </c>
      <c r="B781">
        <v>33</v>
      </c>
      <c r="C781" s="1" t="s">
        <v>15</v>
      </c>
      <c r="D781" s="1" t="s">
        <v>22</v>
      </c>
      <c r="E781" s="1" t="s">
        <v>23</v>
      </c>
      <c r="F781">
        <v>5</v>
      </c>
      <c r="G781">
        <v>7</v>
      </c>
      <c r="H781">
        <v>3.5</v>
      </c>
      <c r="I781">
        <v>63000</v>
      </c>
      <c r="J781" s="1" t="s">
        <v>834</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3BAD8-1869-433E-879C-E23EC6CAAE0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6A9CD7A-54BE-4310-925A-BEC8A4840F64}">
  <ds:schemaRefs/>
</ds:datastoreItem>
</file>

<file path=customXml/itemProps2.xml><?xml version="1.0" encoding="utf-8"?>
<ds:datastoreItem xmlns:ds="http://schemas.openxmlformats.org/officeDocument/2006/customXml" ds:itemID="{926F1C43-8A3D-4531-98F1-4527F2ADE221}">
  <ds:schemaRefs/>
</ds:datastoreItem>
</file>

<file path=customXml/itemProps3.xml><?xml version="1.0" encoding="utf-8"?>
<ds:datastoreItem xmlns:ds="http://schemas.openxmlformats.org/officeDocument/2006/customXml" ds:itemID="{F3EB24B0-8E8C-427A-92ED-9E5974655E35}">
  <ds:schemaRefs/>
</ds:datastoreItem>
</file>

<file path=customXml/itemProps4.xml><?xml version="1.0" encoding="utf-8"?>
<ds:datastoreItem xmlns:ds="http://schemas.openxmlformats.org/officeDocument/2006/customXml" ds:itemID="{C582B084-E8CA-4D16-BC82-3434386E8678}">
  <ds:schemaRefs/>
</ds:datastoreItem>
</file>

<file path=customXml/itemProps5.xml><?xml version="1.0" encoding="utf-8"?>
<ds:datastoreItem xmlns:ds="http://schemas.openxmlformats.org/officeDocument/2006/customXml" ds:itemID="{CBB2C3F9-7836-42EB-AD2A-C0B9EFA58900}">
  <ds:schemaRefs/>
</ds:datastoreItem>
</file>

<file path=customXml/itemProps6.xml><?xml version="1.0" encoding="utf-8"?>
<ds:datastoreItem xmlns:ds="http://schemas.openxmlformats.org/officeDocument/2006/customXml" ds:itemID="{DF186B91-786A-4C91-87AA-C11EA9E3A903}">
  <ds:schemaRefs/>
</ds:datastoreItem>
</file>

<file path=customXml/itemProps7.xml><?xml version="1.0" encoding="utf-8"?>
<ds:datastoreItem xmlns:ds="http://schemas.openxmlformats.org/officeDocument/2006/customXml" ds:itemID="{91DE4BF0-9B70-4DA5-8ADE-01858CD7FD7C}">
  <ds:schemaRefs/>
</ds:datastoreItem>
</file>

<file path=customXml/itemProps8.xml><?xml version="1.0" encoding="utf-8"?>
<ds:datastoreItem xmlns:ds="http://schemas.openxmlformats.org/officeDocument/2006/customXml" ds:itemID="{EE7102D3-83D6-40ED-972B-973E3C9FEE1A}">
  <ds:schemaRefs/>
</ds:datastoreItem>
</file>

<file path=customXml/itemProps9.xml><?xml version="1.0" encoding="utf-8"?>
<ds:datastoreItem xmlns:ds="http://schemas.openxmlformats.org/officeDocument/2006/customXml" ds:itemID="{C2CB502D-E8AC-4B20-8056-D165AFCE4077}">
  <ds:schemaRefs/>
</ds:datastoreItem>
</file>

<file path=customXml/itemProps10.xml><?xml version="1.0" encoding="utf-8"?>
<ds:datastoreItem xmlns:ds="http://schemas.openxmlformats.org/officeDocument/2006/customXml" ds:itemID="{F3C8E83D-DFDF-42DC-B356-F8C238491300}">
  <ds:schemaRefs/>
</ds:datastoreItem>
</file>

<file path=customXml/itemProps11.xml><?xml version="1.0" encoding="utf-8"?>
<ds:datastoreItem xmlns:ds="http://schemas.openxmlformats.org/officeDocument/2006/customXml" ds:itemID="{FE60C86F-4C54-4E6B-893A-E0EB5B8718FC}">
  <ds:schemaRefs/>
</ds:datastoreItem>
</file>

<file path=customXml/itemProps12.xml><?xml version="1.0" encoding="utf-8"?>
<ds:datastoreItem xmlns:ds="http://schemas.openxmlformats.org/officeDocument/2006/customXml" ds:itemID="{5E3A6EC7-6FA1-4F2C-9109-83049109D74F}">
  <ds:schemaRefs/>
</ds:datastoreItem>
</file>

<file path=customXml/itemProps13.xml><?xml version="1.0" encoding="utf-8"?>
<ds:datastoreItem xmlns:ds="http://schemas.openxmlformats.org/officeDocument/2006/customXml" ds:itemID="{8479F93E-9A44-4CCA-A504-E7588694EE4D}">
  <ds:schemaRefs/>
</ds:datastoreItem>
</file>

<file path=customXml/itemProps14.xml><?xml version="1.0" encoding="utf-8"?>
<ds:datastoreItem xmlns:ds="http://schemas.openxmlformats.org/officeDocument/2006/customXml" ds:itemID="{57D50292-2AD3-47A0-AED1-64755FADD195}">
  <ds:schemaRefs/>
</ds:datastoreItem>
</file>

<file path=customXml/itemProps15.xml><?xml version="1.0" encoding="utf-8"?>
<ds:datastoreItem xmlns:ds="http://schemas.openxmlformats.org/officeDocument/2006/customXml" ds:itemID="{C0B5EB4F-D8B6-472B-B774-34D417DCCCC8}">
  <ds:schemaRefs/>
</ds:datastoreItem>
</file>

<file path=customXml/itemProps16.xml><?xml version="1.0" encoding="utf-8"?>
<ds:datastoreItem xmlns:ds="http://schemas.openxmlformats.org/officeDocument/2006/customXml" ds:itemID="{251E6A39-97AD-4B5B-A9BB-7D14ECF53EC4}">
  <ds:schemaRefs/>
</ds:datastoreItem>
</file>

<file path=customXml/itemProps17.xml><?xml version="1.0" encoding="utf-8"?>
<ds:datastoreItem xmlns:ds="http://schemas.openxmlformats.org/officeDocument/2006/customXml" ds:itemID="{C407B79E-BCBD-42F4-B8B0-FC3BCD1802F8}">
  <ds:schemaRefs/>
</ds:datastoreItem>
</file>

<file path=customXml/itemProps18.xml><?xml version="1.0" encoding="utf-8"?>
<ds:datastoreItem xmlns:ds="http://schemas.openxmlformats.org/officeDocument/2006/customXml" ds:itemID="{3BC33456-FA58-4396-B699-76B580041EA0}">
  <ds:schemaRefs/>
</ds:datastoreItem>
</file>

<file path=customXml/itemProps19.xml><?xml version="1.0" encoding="utf-8"?>
<ds:datastoreItem xmlns:ds="http://schemas.openxmlformats.org/officeDocument/2006/customXml" ds:itemID="{F264D7C8-270A-4407-8229-586DEBE14A77}">
  <ds:schemaRefs/>
</ds:datastoreItem>
</file>

<file path=customXml/itemProps20.xml><?xml version="1.0" encoding="utf-8"?>
<ds:datastoreItem xmlns:ds="http://schemas.openxmlformats.org/officeDocument/2006/customXml" ds:itemID="{6BD3BF25-5602-4CED-BB91-7E1F95E159AE}">
  <ds:schemaRefs/>
</ds:datastoreItem>
</file>

<file path=customXml/itemProps21.xml><?xml version="1.0" encoding="utf-8"?>
<ds:datastoreItem xmlns:ds="http://schemas.openxmlformats.org/officeDocument/2006/customXml" ds:itemID="{498566CB-6946-4D07-8EE9-410E62A1BE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(2)</vt:lpstr>
      <vt:lpstr>Year of Service</vt:lpstr>
      <vt:lpstr>Salary range</vt:lpstr>
      <vt:lpstr>Age range</vt:lpstr>
      <vt:lpstr>satisfaction Score</vt:lpstr>
      <vt:lpstr>pivot Analyser</vt:lpstr>
      <vt:lpstr>my analysis</vt:lpstr>
      <vt:lpstr>Dashboard</vt:lpstr>
      <vt:lpstr>Cleaned Data sheet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egbeobauwaye nagbons</cp:lastModifiedBy>
  <dcterms:created xsi:type="dcterms:W3CDTF">2025-06-30T16:50:13Z</dcterms:created>
  <dcterms:modified xsi:type="dcterms:W3CDTF">2025-09-28T15:55:33Z</dcterms:modified>
</cp:coreProperties>
</file>